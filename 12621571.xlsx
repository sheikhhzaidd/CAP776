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zaid\OneDrive\Desktop\CAP776\"/>
    </mc:Choice>
  </mc:AlternateContent>
  <xr:revisionPtr revIDLastSave="0" documentId="13_ncr:1_{9A31D662-725C-43A2-86E8-41E9A50D9F69}" xr6:coauthVersionLast="47" xr6:coauthVersionMax="47" xr10:uidLastSave="{00000000-0000-0000-0000-000000000000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J186" i="2"/>
  <c r="I186" i="2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<sst xmlns="http://schemas.openxmlformats.org/spreadsheetml/2006/main" count="193" uniqueCount="66">
  <si>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</si>
  <si>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</si>
  <si>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</si>
  <si>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</si>
  <si>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</si>
  <si>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</si>
  <si>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</si>
  <si>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</si>
  <si>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</si>
  <si>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</si>
  <si>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</si>
  <si>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</si>
  <si>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</si>
  <si>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</si>
  <si>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</si>
  <si>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</si>
  <si>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</si>
  <si>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</si>
  <si>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</si>
  <si>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</si>
  <si>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</si>
  <si>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</si>
  <si>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</si>
  <si>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</si>
  <si>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</si>
  <si>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</si>
  <si>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</si>
  <si>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</si>
  <si>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</si>
  <si>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</si>
  <si>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</si>
  <si>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</si>
  <si>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Sheikh Mohammad Zaid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</si>
  <si>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</si>
  <si>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</si>
  <si>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</si>
  <si>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</si>
  <si>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</si>
  <si>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</si>
  <si>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</si>
  <si>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</si>
  <si>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</si>
  <si>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</si>
  <si>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</si>
  <si>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</si>
  <si>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</si>
  <si>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</si>
  <si>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</si>
  <si>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</si>
  <si>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</si>
  <si>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</si>
  <si>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</si>
  <si>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</si>
  <si>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Low</t>
  </si>
  <si>
    <t>Unsatisfied</t>
  </si>
  <si>
    <t>Example row — replace with your own data. Felt a bit tired after evening class.</t>
  </si>
  <si>
    <t>Good</t>
  </si>
  <si>
    <t>Satisfied</t>
  </si>
  <si>
    <t>Medium</t>
  </si>
  <si>
    <t>Excellent</t>
  </si>
  <si>
    <t>High</t>
  </si>
  <si>
    <t>Neutral</t>
  </si>
  <si>
    <t>Stressed</t>
  </si>
  <si>
    <t>Very Satisfied</t>
  </si>
  <si>
    <t>Very Unsatisfied</t>
  </si>
  <si>
    <t>sir as I informed you earlier in the class , my laptop was at service for more than a month , making me unable to update my daily logs regularly.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</si>
</sst>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name val="Calibri"/>
      <family val="1"/>
    </font>
    <font>
      <sz val="11"/>
      <name val="Calibri"/>
      <family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3"/>
      <color rgb="FF1F4E78"/>
      <name val="Arial"/>
      <family val="2"/>
    </font>
    <font>
      <i/>
      <sz val="9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wrapText="1"/>
    </xf>
    <xf numFmtId="1" fontId="9" fillId="3" borderId="3" xfId="0" applyNumberFormat="1" applyFont="1" applyFill="1" applyBorder="1" applyAlignment="1">
      <alignment horizontal="center" vertical="center" wrapText="1"/>
    </xf>
    <xf numFmtId="1" fontId="9" fillId="0" borderId="4" xfId="0" applyNumberFormat="1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164" fontId="0" fillId="3" borderId="7" xfId="0" applyNumberFormat="1" applyFill="1" applyBorder="1" applyAlignment="1">
      <alignment horizontal="center" vertical="center" wrapText="1"/>
    </xf>
    <xf numFmtId="1" fontId="0" fillId="3" borderId="8" xfId="0" applyNumberFormat="1" applyFill="1" applyBorder="1" applyAlignment="1">
      <alignment horizontal="center" vertical="center" wrapText="1"/>
    </xf>
    <xf numFmtId="1" fontId="10" fillId="0" borderId="9" xfId="0" applyNumberFormat="1" applyFont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/>
    <xf numFmtId="0" fontId="1" fillId="3" borderId="13" xfId="0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5" customHeight="1" x14ac:dyDescent="0.3">
      <c r="A2" s="2" t="s">
        <v>1</v>
      </c>
    </row>
    <row r="3" spans="1:1" ht="14.4" customHeight="1" x14ac:dyDescent="0.3">
      <c r="A3" s="3" t="s">
        <v>2</v>
      </c>
    </row>
    <row r="4" spans="1:1" ht="14.4" customHeight="1" x14ac:dyDescent="0.3">
      <c r="A4" s="4"/>
    </row>
    <row r="5" spans="1:1" ht="14.4" customHeight="1" x14ac:dyDescent="0.3">
      <c r="A5" s="5" t="s">
        <v>3</v>
      </c>
    </row>
    <row r="6" spans="1:1" ht="14.4" customHeight="1" x14ac:dyDescent="0.3">
      <c r="A6" s="4" t="s">
        <v>4</v>
      </c>
    </row>
    <row r="7" spans="1:1" ht="14.4" customHeight="1" x14ac:dyDescent="0.3">
      <c r="A7" s="4"/>
    </row>
    <row r="8" spans="1:1" ht="14.4" customHeight="1" x14ac:dyDescent="0.3">
      <c r="A8" s="5" t="s">
        <v>5</v>
      </c>
    </row>
    <row r="9" spans="1:1" ht="14.4" customHeight="1" x14ac:dyDescent="0.3">
      <c r="A9" s="4" t="s">
        <v>6</v>
      </c>
    </row>
    <row r="10" spans="1:1" ht="14.4" customHeight="1" x14ac:dyDescent="0.3">
      <c r="A10" s="4" t="s">
        <v>7</v>
      </c>
    </row>
    <row r="11" spans="1:1" ht="14.4" customHeight="1" x14ac:dyDescent="0.3">
      <c r="A11" s="4" t="s">
        <v>8</v>
      </c>
    </row>
    <row r="12" spans="1:1" ht="14.4" customHeight="1" x14ac:dyDescent="0.3">
      <c r="A12" s="4"/>
    </row>
    <row r="13" spans="1:1" ht="14.4" customHeight="1" x14ac:dyDescent="0.3">
      <c r="A13" s="5" t="s">
        <v>9</v>
      </c>
    </row>
    <row r="14" spans="1:1" ht="14.4" customHeight="1" x14ac:dyDescent="0.3">
      <c r="A14" s="4" t="s">
        <v>10</v>
      </c>
    </row>
    <row r="15" spans="1:1" ht="14.4" customHeight="1" x14ac:dyDescent="0.3">
      <c r="A15" s="4" t="s">
        <v>11</v>
      </c>
    </row>
    <row r="16" spans="1:1" ht="14.4" customHeight="1" x14ac:dyDescent="0.3">
      <c r="A16" s="4"/>
    </row>
    <row r="17" spans="1:1" ht="14.4" customHeight="1" x14ac:dyDescent="0.3">
      <c r="A17" s="5" t="s">
        <v>12</v>
      </c>
    </row>
    <row r="18" spans="1:1" ht="14.4" customHeight="1" x14ac:dyDescent="0.3">
      <c r="A18" s="4" t="s">
        <v>13</v>
      </c>
    </row>
    <row r="19" spans="1:1" ht="14.4" customHeight="1" x14ac:dyDescent="0.3">
      <c r="A19" s="4" t="s">
        <v>14</v>
      </c>
    </row>
    <row r="20" spans="1:1" ht="14.4" customHeight="1" x14ac:dyDescent="0.3">
      <c r="A20" s="4" t="s">
        <v>15</v>
      </c>
    </row>
    <row r="21" spans="1:1" ht="14.4" customHeight="1" x14ac:dyDescent="0.3">
      <c r="A21" s="4" t="s">
        <v>16</v>
      </c>
    </row>
    <row r="22" spans="1:1" ht="14.4" customHeight="1" x14ac:dyDescent="0.3">
      <c r="A22" s="4" t="s">
        <v>17</v>
      </c>
    </row>
    <row r="23" spans="1:1" ht="14.4" customHeight="1" x14ac:dyDescent="0.3">
      <c r="A23" s="4" t="s">
        <v>18</v>
      </c>
    </row>
    <row r="24" spans="1:1" ht="14.4" customHeight="1" x14ac:dyDescent="0.3">
      <c r="A24" s="4" t="s">
        <v>19</v>
      </c>
    </row>
    <row r="25" spans="1:1" ht="14.4" customHeight="1" x14ac:dyDescent="0.3">
      <c r="A25" s="4" t="s">
        <v>20</v>
      </c>
    </row>
    <row r="26" spans="1:1" ht="14.4" customHeight="1" x14ac:dyDescent="0.3">
      <c r="A26" s="4" t="s">
        <v>21</v>
      </c>
    </row>
    <row r="27" spans="1:1" ht="14.4" customHeight="1" x14ac:dyDescent="0.3">
      <c r="A27" s="4" t="s">
        <v>22</v>
      </c>
    </row>
    <row r="28" spans="1:1" ht="14.4" customHeight="1" x14ac:dyDescent="0.3">
      <c r="A28" s="4" t="s">
        <v>23</v>
      </c>
    </row>
    <row r="29" spans="1:1" ht="14.4" customHeight="1" x14ac:dyDescent="0.3">
      <c r="A29" s="4" t="s">
        <v>24</v>
      </c>
    </row>
    <row r="30" spans="1:1" ht="14.4" customHeight="1" x14ac:dyDescent="0.3">
      <c r="A30" s="4" t="s">
        <v>25</v>
      </c>
    </row>
    <row r="31" spans="1:1" ht="14.4" customHeight="1" x14ac:dyDescent="0.3">
      <c r="A31" s="4" t="s">
        <v>26</v>
      </c>
    </row>
    <row r="32" spans="1:1" ht="14.4" customHeight="1" x14ac:dyDescent="0.3">
      <c r="A32" s="4"/>
    </row>
    <row r="33" spans="1:1" ht="14.4" customHeight="1" x14ac:dyDescent="0.3">
      <c r="A33" s="5" t="s">
        <v>27</v>
      </c>
    </row>
    <row r="34" spans="1:1" ht="14.4" customHeight="1" x14ac:dyDescent="0.3">
      <c r="A34" s="4" t="s">
        <v>28</v>
      </c>
    </row>
    <row r="35" spans="1:1" ht="14.4" customHeight="1" x14ac:dyDescent="0.3">
      <c r="A35" s="4" t="s">
        <v>29</v>
      </c>
    </row>
    <row r="36" spans="1:1" ht="14.4" customHeight="1" x14ac:dyDescent="0.3">
      <c r="A36" s="4"/>
    </row>
    <row r="37" spans="1:1" ht="14.4" customHeight="1" x14ac:dyDescent="0.3">
      <c r="A37" s="5"/>
    </row>
    <row r="38" spans="1:1" ht="14.4" customHeight="1" x14ac:dyDescent="0.3">
      <c r="A38" s="4"/>
    </row>
    <row r="39" spans="1:1" ht="14.4" customHeight="1" x14ac:dyDescent="0.3">
      <c r="A39" s="4"/>
    </row>
  </sheetData>
  <phoneticPr fontId="0" type="noConversion"/>
  <pageMargins left="0.74990626395218019" right="0.74990626395218019" top="0.99987495602585208" bottom="0.99987495602585208" header="0.51174154431801144" footer="0.51174154431801144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1" zoomScaleNormal="61" workbookViewId="0">
      <pane xSplit="1" ySplit="5" topLeftCell="B39" activePane="bottomRight" state="frozen"/>
      <selection sqref="A1:N1"/>
      <selection pane="topRight" sqref="A1:N1"/>
      <selection pane="bottomLeft" sqref="A1:N1"/>
      <selection pane="bottomRight" activeCell="N51" sqref="N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12621571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ht="14.4" customHeight="1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 customHeight="1" x14ac:dyDescent="0.3">
      <c r="A6" s="8">
        <v>46246</v>
      </c>
      <c r="B6" s="9">
        <v>420</v>
      </c>
      <c r="C6" s="9">
        <v>30</v>
      </c>
      <c r="D6" s="9">
        <v>10</v>
      </c>
      <c r="E6" s="9">
        <v>0</v>
      </c>
      <c r="F6" s="9">
        <v>350</v>
      </c>
      <c r="G6" s="9">
        <v>7</v>
      </c>
      <c r="H6" s="9">
        <v>0</v>
      </c>
      <c r="I6" s="10">
        <f t="shared" ref="I6:I37" si="0">IF(SUM(B6:F6,H6)=0,"",SUM(B6:F6,H6))</f>
        <v>810</v>
      </c>
      <c r="J6" s="10">
        <f t="shared" ref="J6:J69" si="1">IF(I6="","",1440-I6)</f>
        <v>630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ht="14.4" customHeight="1" x14ac:dyDescent="0.3">
      <c r="A7" s="8">
        <v>46247</v>
      </c>
      <c r="B7" s="14">
        <v>380</v>
      </c>
      <c r="C7" s="14">
        <v>60</v>
      </c>
      <c r="D7" s="14">
        <v>30</v>
      </c>
      <c r="E7" s="14">
        <v>15</v>
      </c>
      <c r="F7" s="14">
        <v>300</v>
      </c>
      <c r="G7" s="14">
        <v>6</v>
      </c>
      <c r="H7" s="14">
        <v>55</v>
      </c>
      <c r="I7" s="15">
        <f t="shared" si="0"/>
        <v>840</v>
      </c>
      <c r="J7" s="15">
        <f t="shared" si="1"/>
        <v>600</v>
      </c>
      <c r="K7" s="16" t="s">
        <v>56</v>
      </c>
      <c r="L7" s="16" t="s">
        <v>57</v>
      </c>
      <c r="M7" s="16" t="s">
        <v>58</v>
      </c>
      <c r="N7" s="17"/>
    </row>
    <row r="8" spans="1:14" ht="14.4" customHeight="1" x14ac:dyDescent="0.3">
      <c r="A8" s="13">
        <v>46248</v>
      </c>
      <c r="B8" s="14">
        <v>400</v>
      </c>
      <c r="C8" s="14">
        <v>60</v>
      </c>
      <c r="D8" s="14">
        <v>35</v>
      </c>
      <c r="E8" s="14">
        <v>20</v>
      </c>
      <c r="F8" s="14">
        <v>250</v>
      </c>
      <c r="G8" s="14">
        <v>5</v>
      </c>
      <c r="H8" s="14">
        <v>90</v>
      </c>
      <c r="I8" s="15">
        <f t="shared" si="0"/>
        <v>855</v>
      </c>
      <c r="J8" s="15">
        <f t="shared" si="1"/>
        <v>585</v>
      </c>
      <c r="K8" s="16" t="s">
        <v>53</v>
      </c>
      <c r="L8" s="16" t="s">
        <v>54</v>
      </c>
      <c r="M8" s="16" t="s">
        <v>58</v>
      </c>
      <c r="N8" s="17"/>
    </row>
    <row r="9" spans="1:14" ht="14.4" customHeight="1" x14ac:dyDescent="0.3">
      <c r="A9" s="13">
        <v>46249</v>
      </c>
      <c r="B9" s="14">
        <v>540</v>
      </c>
      <c r="C9" s="14">
        <v>70</v>
      </c>
      <c r="D9" s="14">
        <v>50</v>
      </c>
      <c r="E9" s="14">
        <v>30</v>
      </c>
      <c r="F9" s="14">
        <v>0</v>
      </c>
      <c r="G9" s="14">
        <v>0</v>
      </c>
      <c r="H9" s="14">
        <v>55</v>
      </c>
      <c r="I9" s="15">
        <f t="shared" si="0"/>
        <v>745</v>
      </c>
      <c r="J9" s="15">
        <f t="shared" si="1"/>
        <v>695</v>
      </c>
      <c r="K9" s="16" t="s">
        <v>59</v>
      </c>
      <c r="L9" s="16" t="s">
        <v>57</v>
      </c>
      <c r="M9" s="16" t="s">
        <v>60</v>
      </c>
      <c r="N9" s="17"/>
    </row>
    <row r="10" spans="1:14" ht="14.4" customHeight="1" x14ac:dyDescent="0.3">
      <c r="A10" s="13">
        <v>46250</v>
      </c>
      <c r="B10" s="14">
        <v>560</v>
      </c>
      <c r="C10" s="14">
        <v>50</v>
      </c>
      <c r="D10" s="14">
        <v>60</v>
      </c>
      <c r="E10" s="14">
        <v>40</v>
      </c>
      <c r="F10" s="14">
        <v>0</v>
      </c>
      <c r="G10" s="14">
        <v>0</v>
      </c>
      <c r="H10" s="14">
        <v>60</v>
      </c>
      <c r="I10" s="15">
        <f t="shared" si="0"/>
        <v>770</v>
      </c>
      <c r="J10" s="15">
        <f t="shared" si="1"/>
        <v>670</v>
      </c>
      <c r="K10" s="16" t="s">
        <v>59</v>
      </c>
      <c r="L10" s="16" t="s">
        <v>61</v>
      </c>
      <c r="M10" s="16" t="s">
        <v>60</v>
      </c>
      <c r="N10" s="17"/>
    </row>
    <row r="11" spans="1:14" ht="14.4" customHeight="1" x14ac:dyDescent="0.3">
      <c r="A11" s="13">
        <v>46251</v>
      </c>
      <c r="B11" s="14">
        <v>350</v>
      </c>
      <c r="C11" s="14">
        <v>40</v>
      </c>
      <c r="D11" s="14">
        <v>30</v>
      </c>
      <c r="E11" s="14">
        <v>30</v>
      </c>
      <c r="F11" s="14">
        <v>300</v>
      </c>
      <c r="G11" s="14">
        <v>6</v>
      </c>
      <c r="H11" s="14">
        <v>40</v>
      </c>
      <c r="I11" s="15">
        <f t="shared" si="0"/>
        <v>790</v>
      </c>
      <c r="J11" s="15">
        <f t="shared" si="1"/>
        <v>650</v>
      </c>
      <c r="K11" s="16" t="s">
        <v>62</v>
      </c>
      <c r="L11" s="16" t="s">
        <v>54</v>
      </c>
      <c r="M11" s="16" t="s">
        <v>58</v>
      </c>
      <c r="N11" s="17"/>
    </row>
    <row r="12" spans="1:14" ht="14.4" customHeight="1" x14ac:dyDescent="0.3">
      <c r="A12" s="13">
        <v>46252</v>
      </c>
      <c r="B12" s="14">
        <v>450</v>
      </c>
      <c r="C12" s="14">
        <v>30</v>
      </c>
      <c r="D12" s="14">
        <v>40</v>
      </c>
      <c r="E12" s="14">
        <v>30</v>
      </c>
      <c r="F12" s="14">
        <v>300</v>
      </c>
      <c r="G12" s="14">
        <v>6</v>
      </c>
      <c r="H12" s="14">
        <v>50</v>
      </c>
      <c r="I12" s="15">
        <f t="shared" si="0"/>
        <v>900</v>
      </c>
      <c r="J12" s="15">
        <f t="shared" si="1"/>
        <v>540</v>
      </c>
      <c r="K12" s="16" t="s">
        <v>61</v>
      </c>
      <c r="L12" s="16" t="s">
        <v>57</v>
      </c>
      <c r="M12" s="16" t="s">
        <v>60</v>
      </c>
      <c r="N12" s="17"/>
    </row>
    <row r="13" spans="1:14" ht="14.4" customHeight="1" x14ac:dyDescent="0.3">
      <c r="A13" s="13">
        <v>46253</v>
      </c>
      <c r="B13" s="14">
        <v>300</v>
      </c>
      <c r="C13" s="14">
        <v>60</v>
      </c>
      <c r="D13" s="14">
        <v>60</v>
      </c>
      <c r="E13" s="14">
        <v>15</v>
      </c>
      <c r="F13" s="14">
        <v>250</v>
      </c>
      <c r="G13" s="14">
        <v>5</v>
      </c>
      <c r="H13" s="14">
        <v>30</v>
      </c>
      <c r="I13" s="15">
        <f t="shared" si="0"/>
        <v>715</v>
      </c>
      <c r="J13" s="15">
        <f t="shared" si="1"/>
        <v>725</v>
      </c>
      <c r="K13" s="16" t="s">
        <v>59</v>
      </c>
      <c r="L13" s="16" t="s">
        <v>61</v>
      </c>
      <c r="M13" s="16" t="s">
        <v>53</v>
      </c>
      <c r="N13" s="17"/>
    </row>
    <row r="14" spans="1:14" ht="14.4" customHeight="1" x14ac:dyDescent="0.3">
      <c r="A14" s="13">
        <v>46254</v>
      </c>
      <c r="B14" s="14">
        <v>500</v>
      </c>
      <c r="C14" s="14">
        <v>50</v>
      </c>
      <c r="D14" s="14">
        <v>50</v>
      </c>
      <c r="E14" s="14">
        <v>20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59</v>
      </c>
      <c r="L14" s="16" t="s">
        <v>63</v>
      </c>
      <c r="M14" s="16" t="s">
        <v>60</v>
      </c>
      <c r="N14" s="17"/>
    </row>
    <row r="15" spans="1:14" ht="14.4" customHeight="1" x14ac:dyDescent="0.3">
      <c r="A15" s="13">
        <v>46255</v>
      </c>
      <c r="B15" s="14">
        <v>400</v>
      </c>
      <c r="C15" s="14">
        <v>60</v>
      </c>
      <c r="D15" s="14">
        <v>30</v>
      </c>
      <c r="E15" s="14">
        <v>40</v>
      </c>
      <c r="F15" s="14">
        <v>250</v>
      </c>
      <c r="G15" s="14">
        <v>5</v>
      </c>
      <c r="H15" s="14">
        <v>40</v>
      </c>
      <c r="I15" s="15">
        <f t="shared" si="0"/>
        <v>820</v>
      </c>
      <c r="J15" s="15">
        <f t="shared" si="1"/>
        <v>620</v>
      </c>
      <c r="K15" s="16" t="s">
        <v>61</v>
      </c>
      <c r="L15" s="16" t="s">
        <v>54</v>
      </c>
      <c r="M15" s="16" t="s">
        <v>58</v>
      </c>
      <c r="N15" s="17"/>
    </row>
    <row r="16" spans="1:14" ht="14.4" customHeight="1" x14ac:dyDescent="0.3">
      <c r="A16" s="13">
        <v>46256</v>
      </c>
      <c r="B16" s="14">
        <v>500</v>
      </c>
      <c r="C16" s="14">
        <v>40</v>
      </c>
      <c r="D16" s="14">
        <v>50</v>
      </c>
      <c r="E16" s="14">
        <v>50</v>
      </c>
      <c r="F16" s="14">
        <v>0</v>
      </c>
      <c r="G16" s="14">
        <v>0</v>
      </c>
      <c r="H16" s="14">
        <v>30</v>
      </c>
      <c r="I16" s="15">
        <f t="shared" si="0"/>
        <v>670</v>
      </c>
      <c r="J16" s="15">
        <f t="shared" si="1"/>
        <v>770</v>
      </c>
      <c r="K16" s="16" t="s">
        <v>59</v>
      </c>
      <c r="L16" s="16" t="s">
        <v>57</v>
      </c>
      <c r="M16" s="16" t="s">
        <v>60</v>
      </c>
      <c r="N16" s="17"/>
    </row>
    <row r="17" spans="1:14" ht="14.4" customHeight="1" x14ac:dyDescent="0.3">
      <c r="A17" s="13">
        <v>46257</v>
      </c>
      <c r="B17" s="14">
        <v>600</v>
      </c>
      <c r="C17" s="14">
        <v>30</v>
      </c>
      <c r="D17" s="14">
        <v>35</v>
      </c>
      <c r="E17" s="14">
        <v>25</v>
      </c>
      <c r="F17" s="14">
        <v>0</v>
      </c>
      <c r="G17" s="14">
        <v>0</v>
      </c>
      <c r="H17" s="14">
        <v>35</v>
      </c>
      <c r="I17" s="15">
        <f t="shared" si="0"/>
        <v>725</v>
      </c>
      <c r="J17" s="15">
        <f t="shared" si="1"/>
        <v>715</v>
      </c>
      <c r="K17" s="18" t="s">
        <v>61</v>
      </c>
      <c r="L17" s="16" t="s">
        <v>57</v>
      </c>
      <c r="M17" s="16" t="s">
        <v>60</v>
      </c>
      <c r="N17" s="17"/>
    </row>
    <row r="18" spans="1:14" ht="14.4" customHeight="1" x14ac:dyDescent="0.3">
      <c r="A18" s="13">
        <v>46258</v>
      </c>
      <c r="B18" s="14">
        <v>380</v>
      </c>
      <c r="C18" s="14">
        <v>40</v>
      </c>
      <c r="D18" s="14">
        <v>45</v>
      </c>
      <c r="E18" s="14">
        <v>50</v>
      </c>
      <c r="F18" s="14">
        <v>350</v>
      </c>
      <c r="G18" s="14">
        <v>7</v>
      </c>
      <c r="H18" s="14">
        <v>55</v>
      </c>
      <c r="I18" s="15">
        <f t="shared" si="0"/>
        <v>920</v>
      </c>
      <c r="J18" s="15">
        <f t="shared" si="1"/>
        <v>520</v>
      </c>
      <c r="K18" s="16" t="s">
        <v>53</v>
      </c>
      <c r="L18" s="16" t="s">
        <v>64</v>
      </c>
      <c r="M18" s="16" t="s">
        <v>58</v>
      </c>
      <c r="N18" s="17"/>
    </row>
    <row r="19" spans="1:14" ht="14.4" customHeight="1" x14ac:dyDescent="0.3">
      <c r="A19" s="13">
        <v>46259</v>
      </c>
      <c r="B19" s="14">
        <v>410</v>
      </c>
      <c r="C19" s="14">
        <v>60</v>
      </c>
      <c r="D19" s="14">
        <v>40</v>
      </c>
      <c r="E19" s="14">
        <v>40</v>
      </c>
      <c r="F19" s="14">
        <v>250</v>
      </c>
      <c r="G19" s="14">
        <v>5</v>
      </c>
      <c r="H19" s="14">
        <v>60</v>
      </c>
      <c r="I19" s="15">
        <f t="shared" si="0"/>
        <v>860</v>
      </c>
      <c r="J19" s="15">
        <f t="shared" si="1"/>
        <v>580</v>
      </c>
      <c r="K19" s="16" t="s">
        <v>56</v>
      </c>
      <c r="L19" s="16" t="s">
        <v>63</v>
      </c>
      <c r="M19" s="16" t="s">
        <v>58</v>
      </c>
      <c r="N19" s="17"/>
    </row>
    <row r="20" spans="1:14" ht="14.4" customHeight="1" x14ac:dyDescent="0.3">
      <c r="A20" s="13">
        <v>46260</v>
      </c>
      <c r="B20" s="14">
        <v>400</v>
      </c>
      <c r="C20" s="14">
        <v>60</v>
      </c>
      <c r="D20" s="14">
        <v>50</v>
      </c>
      <c r="E20" s="14">
        <v>45</v>
      </c>
      <c r="F20" s="14">
        <v>200</v>
      </c>
      <c r="G20" s="14">
        <v>4</v>
      </c>
      <c r="H20" s="14">
        <v>30</v>
      </c>
      <c r="I20" s="15">
        <f t="shared" si="0"/>
        <v>785</v>
      </c>
      <c r="J20" s="15">
        <f t="shared" si="1"/>
        <v>655</v>
      </c>
      <c r="K20" s="16" t="s">
        <v>56</v>
      </c>
      <c r="L20" s="16" t="s">
        <v>64</v>
      </c>
      <c r="M20" s="16" t="s">
        <v>58</v>
      </c>
      <c r="N20" s="17"/>
    </row>
    <row r="21" spans="1:14" ht="14.4" customHeight="1" x14ac:dyDescent="0.3">
      <c r="A21" s="13">
        <v>46261</v>
      </c>
      <c r="B21" s="14">
        <v>540</v>
      </c>
      <c r="C21" s="14">
        <v>40</v>
      </c>
      <c r="D21" s="14">
        <v>55</v>
      </c>
      <c r="E21" s="14">
        <v>60</v>
      </c>
      <c r="F21" s="14">
        <v>0</v>
      </c>
      <c r="G21" s="14">
        <v>0</v>
      </c>
      <c r="H21" s="14">
        <v>60</v>
      </c>
      <c r="I21" s="15">
        <f t="shared" si="0"/>
        <v>755</v>
      </c>
      <c r="J21" s="15">
        <f t="shared" si="1"/>
        <v>685</v>
      </c>
      <c r="K21" s="16" t="s">
        <v>59</v>
      </c>
      <c r="L21" s="18" t="s">
        <v>61</v>
      </c>
      <c r="M21" s="16" t="s">
        <v>60</v>
      </c>
      <c r="N21" s="17"/>
    </row>
    <row r="22" spans="1:14" ht="14.4" customHeight="1" x14ac:dyDescent="0.3">
      <c r="A22" s="13">
        <v>46262</v>
      </c>
      <c r="B22" s="14">
        <v>380</v>
      </c>
      <c r="C22" s="14">
        <v>50</v>
      </c>
      <c r="D22" s="14">
        <v>60</v>
      </c>
      <c r="E22" s="14">
        <v>30</v>
      </c>
      <c r="F22" s="14">
        <v>250</v>
      </c>
      <c r="G22" s="14">
        <v>5</v>
      </c>
      <c r="H22" s="14">
        <v>50</v>
      </c>
      <c r="I22" s="15">
        <f t="shared" si="0"/>
        <v>820</v>
      </c>
      <c r="J22" s="15">
        <f t="shared" si="1"/>
        <v>620</v>
      </c>
      <c r="K22" s="16" t="s">
        <v>62</v>
      </c>
      <c r="L22" s="16" t="s">
        <v>61</v>
      </c>
      <c r="M22" s="16" t="s">
        <v>53</v>
      </c>
      <c r="N22" s="17"/>
    </row>
    <row r="23" spans="1:14" ht="14.4" customHeight="1" x14ac:dyDescent="0.3">
      <c r="A23" s="13">
        <v>46263</v>
      </c>
      <c r="B23" s="14">
        <v>340</v>
      </c>
      <c r="C23" s="14">
        <v>60</v>
      </c>
      <c r="D23" s="14">
        <v>60</v>
      </c>
      <c r="E23" s="14">
        <v>35</v>
      </c>
      <c r="F23" s="14">
        <v>0</v>
      </c>
      <c r="G23" s="14">
        <v>0</v>
      </c>
      <c r="H23" s="14">
        <v>30</v>
      </c>
      <c r="I23" s="15">
        <f t="shared" si="0"/>
        <v>525</v>
      </c>
      <c r="J23" s="15">
        <f t="shared" si="1"/>
        <v>915</v>
      </c>
      <c r="K23" s="16" t="s">
        <v>59</v>
      </c>
      <c r="L23" s="16" t="s">
        <v>61</v>
      </c>
      <c r="M23" s="16" t="s">
        <v>58</v>
      </c>
      <c r="N23" s="17"/>
    </row>
    <row r="24" spans="1:14" ht="14.4" customHeight="1" x14ac:dyDescent="0.3">
      <c r="A24" s="13">
        <v>46264</v>
      </c>
      <c r="B24" s="14">
        <v>540</v>
      </c>
      <c r="C24" s="14">
        <v>50</v>
      </c>
      <c r="D24" s="14">
        <v>45</v>
      </c>
      <c r="E24" s="14">
        <v>40</v>
      </c>
      <c r="F24" s="14">
        <v>0</v>
      </c>
      <c r="G24" s="14">
        <v>0</v>
      </c>
      <c r="H24" s="14">
        <v>20</v>
      </c>
      <c r="I24" s="15">
        <f t="shared" si="0"/>
        <v>695</v>
      </c>
      <c r="J24" s="15">
        <f t="shared" si="1"/>
        <v>745</v>
      </c>
      <c r="K24" s="16" t="s">
        <v>56</v>
      </c>
      <c r="L24" s="16" t="s">
        <v>61</v>
      </c>
      <c r="M24" s="16" t="s">
        <v>60</v>
      </c>
      <c r="N24" s="17"/>
    </row>
    <row r="25" spans="1:14" ht="14.4" customHeight="1" x14ac:dyDescent="0.3">
      <c r="A25" s="13">
        <v>46265</v>
      </c>
      <c r="B25" s="14">
        <v>450</v>
      </c>
      <c r="C25" s="14">
        <v>0</v>
      </c>
      <c r="D25" s="14">
        <v>50</v>
      </c>
      <c r="E25" s="14">
        <v>30</v>
      </c>
      <c r="F25" s="14">
        <v>250</v>
      </c>
      <c r="G25" s="14">
        <v>5</v>
      </c>
      <c r="H25" s="14">
        <v>90</v>
      </c>
      <c r="I25" s="15">
        <f t="shared" si="0"/>
        <v>870</v>
      </c>
      <c r="J25" s="15">
        <f t="shared" si="1"/>
        <v>570</v>
      </c>
      <c r="K25" s="16" t="s">
        <v>62</v>
      </c>
      <c r="L25" s="16" t="s">
        <v>57</v>
      </c>
      <c r="M25" s="16" t="s">
        <v>60</v>
      </c>
      <c r="N25" s="17"/>
    </row>
    <row r="26" spans="1:14" ht="14.4" customHeight="1" x14ac:dyDescent="0.3">
      <c r="A26" s="13">
        <v>46266</v>
      </c>
      <c r="B26" s="14">
        <v>340</v>
      </c>
      <c r="C26" s="14">
        <v>60</v>
      </c>
      <c r="D26" s="14">
        <v>70</v>
      </c>
      <c r="E26" s="14">
        <v>60</v>
      </c>
      <c r="F26" s="14">
        <v>350</v>
      </c>
      <c r="G26" s="14">
        <v>7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61</v>
      </c>
      <c r="L26" s="16" t="s">
        <v>54</v>
      </c>
      <c r="M26" s="16" t="s">
        <v>58</v>
      </c>
      <c r="N26" s="17"/>
    </row>
    <row r="27" spans="1:14" ht="14.4" customHeight="1" x14ac:dyDescent="0.3">
      <c r="A27" s="13">
        <v>46267</v>
      </c>
      <c r="B27" s="14">
        <v>240</v>
      </c>
      <c r="C27" s="14">
        <v>80</v>
      </c>
      <c r="D27" s="14">
        <v>120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530</v>
      </c>
      <c r="J27" s="15">
        <f t="shared" si="1"/>
        <v>910</v>
      </c>
      <c r="K27" s="16" t="s">
        <v>53</v>
      </c>
      <c r="L27" s="16" t="s">
        <v>64</v>
      </c>
      <c r="M27" s="16" t="s">
        <v>53</v>
      </c>
      <c r="N27" s="17"/>
    </row>
    <row r="28" spans="1:14" ht="14.4" customHeight="1" x14ac:dyDescent="0.3">
      <c r="A28" s="13">
        <v>46268</v>
      </c>
      <c r="B28" s="14">
        <v>455</v>
      </c>
      <c r="C28" s="14">
        <v>80</v>
      </c>
      <c r="D28" s="14">
        <v>40</v>
      </c>
      <c r="E28" s="14">
        <v>20</v>
      </c>
      <c r="F28" s="14">
        <v>250</v>
      </c>
      <c r="G28" s="14">
        <v>5</v>
      </c>
      <c r="H28" s="14">
        <v>0</v>
      </c>
      <c r="I28" s="15">
        <f t="shared" si="0"/>
        <v>845</v>
      </c>
      <c r="J28" s="15">
        <f t="shared" si="1"/>
        <v>595</v>
      </c>
      <c r="K28" s="16" t="s">
        <v>59</v>
      </c>
      <c r="L28" s="16" t="s">
        <v>61</v>
      </c>
      <c r="M28" s="16" t="s">
        <v>60</v>
      </c>
      <c r="N28" s="17"/>
    </row>
    <row r="29" spans="1:14" ht="14.4" customHeight="1" x14ac:dyDescent="0.3">
      <c r="A29" s="13">
        <v>46269</v>
      </c>
      <c r="B29" s="14">
        <v>500</v>
      </c>
      <c r="C29" s="14">
        <v>90</v>
      </c>
      <c r="D29" s="14">
        <v>0</v>
      </c>
      <c r="E29" s="14">
        <v>50</v>
      </c>
      <c r="F29" s="14">
        <v>350</v>
      </c>
      <c r="G29" s="14">
        <v>7</v>
      </c>
      <c r="H29" s="14">
        <v>50</v>
      </c>
      <c r="I29" s="15">
        <f t="shared" si="0"/>
        <v>1040</v>
      </c>
      <c r="J29" s="15">
        <f t="shared" si="1"/>
        <v>400</v>
      </c>
      <c r="K29" s="16" t="s">
        <v>56</v>
      </c>
      <c r="L29" s="16" t="s">
        <v>54</v>
      </c>
      <c r="M29" s="16" t="s">
        <v>60</v>
      </c>
      <c r="N29" s="17"/>
    </row>
    <row r="30" spans="1:14" ht="14.4" customHeight="1" x14ac:dyDescent="0.3">
      <c r="A30" s="13">
        <v>46270</v>
      </c>
      <c r="B30" s="14">
        <v>550</v>
      </c>
      <c r="C30" s="14">
        <v>0</v>
      </c>
      <c r="D30" s="14">
        <v>120</v>
      </c>
      <c r="E30" s="14">
        <v>70</v>
      </c>
      <c r="F30" s="14">
        <v>0</v>
      </c>
      <c r="G30" s="14">
        <v>0</v>
      </c>
      <c r="H30" s="14">
        <v>30</v>
      </c>
      <c r="I30" s="15">
        <f t="shared" si="0"/>
        <v>770</v>
      </c>
      <c r="J30" s="15">
        <f t="shared" si="1"/>
        <v>670</v>
      </c>
      <c r="K30" s="16" t="s">
        <v>59</v>
      </c>
      <c r="L30" s="16" t="s">
        <v>63</v>
      </c>
      <c r="M30" s="16" t="s">
        <v>60</v>
      </c>
      <c r="N30" s="17"/>
    </row>
    <row r="31" spans="1:14" ht="14.4" customHeight="1" x14ac:dyDescent="0.3">
      <c r="A31" s="13">
        <v>46271</v>
      </c>
      <c r="B31" s="14">
        <v>600</v>
      </c>
      <c r="C31" s="14">
        <v>60</v>
      </c>
      <c r="D31" s="14">
        <v>30</v>
      </c>
      <c r="E31" s="14">
        <v>120</v>
      </c>
      <c r="F31" s="14">
        <v>0</v>
      </c>
      <c r="G31" s="14">
        <v>0</v>
      </c>
      <c r="H31" s="14">
        <v>30</v>
      </c>
      <c r="I31" s="15">
        <f t="shared" si="0"/>
        <v>840</v>
      </c>
      <c r="J31" s="15">
        <f t="shared" si="1"/>
        <v>600</v>
      </c>
      <c r="K31" s="16" t="s">
        <v>59</v>
      </c>
      <c r="L31" s="16" t="s">
        <v>57</v>
      </c>
      <c r="M31" s="16" t="s">
        <v>60</v>
      </c>
      <c r="N31" s="17"/>
    </row>
    <row r="32" spans="1:14" ht="14.4" customHeight="1" x14ac:dyDescent="0.3">
      <c r="A32" s="13">
        <v>46272</v>
      </c>
      <c r="B32" s="14">
        <v>400</v>
      </c>
      <c r="C32" s="14">
        <v>20</v>
      </c>
      <c r="D32" s="14">
        <v>30</v>
      </c>
      <c r="E32" s="14">
        <v>0</v>
      </c>
      <c r="F32" s="14">
        <v>350</v>
      </c>
      <c r="G32" s="14">
        <v>7</v>
      </c>
      <c r="H32" s="14">
        <v>60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54</v>
      </c>
      <c r="M32" s="16" t="s">
        <v>60</v>
      </c>
      <c r="N32" s="17"/>
    </row>
    <row r="33" spans="1:14" ht="14.4" customHeight="1" x14ac:dyDescent="0.3">
      <c r="A33" s="13">
        <v>46273</v>
      </c>
      <c r="B33" s="14">
        <v>360</v>
      </c>
      <c r="C33" s="14">
        <v>40</v>
      </c>
      <c r="D33" s="14">
        <v>40</v>
      </c>
      <c r="E33" s="14">
        <v>40</v>
      </c>
      <c r="F33" s="14">
        <v>350</v>
      </c>
      <c r="G33" s="14">
        <v>7</v>
      </c>
      <c r="H33" s="14">
        <v>50</v>
      </c>
      <c r="I33" s="15">
        <f t="shared" si="0"/>
        <v>880</v>
      </c>
      <c r="J33" s="15">
        <f t="shared" si="1"/>
        <v>560</v>
      </c>
      <c r="K33" s="16" t="s">
        <v>61</v>
      </c>
      <c r="L33" s="16" t="s">
        <v>61</v>
      </c>
      <c r="M33" s="16" t="s">
        <v>58</v>
      </c>
      <c r="N33" s="17"/>
    </row>
    <row r="34" spans="1:14" ht="14.4" customHeight="1" x14ac:dyDescent="0.3">
      <c r="A34" s="13">
        <v>46274</v>
      </c>
      <c r="B34" s="14">
        <v>350</v>
      </c>
      <c r="C34" s="14">
        <v>70</v>
      </c>
      <c r="D34" s="14">
        <v>180</v>
      </c>
      <c r="E34" s="14">
        <v>50</v>
      </c>
      <c r="F34" s="14">
        <v>300</v>
      </c>
      <c r="G34" s="14">
        <v>6</v>
      </c>
      <c r="H34" s="14">
        <v>60</v>
      </c>
      <c r="I34" s="15">
        <f t="shared" si="0"/>
        <v>1010</v>
      </c>
      <c r="J34" s="15">
        <f t="shared" si="1"/>
        <v>430</v>
      </c>
      <c r="K34" s="16" t="s">
        <v>61</v>
      </c>
      <c r="L34" s="16" t="s">
        <v>63</v>
      </c>
      <c r="M34" s="16" t="s">
        <v>58</v>
      </c>
      <c r="N34" s="17"/>
    </row>
    <row r="35" spans="1:14" ht="14.4" customHeight="1" x14ac:dyDescent="0.3">
      <c r="A35" s="13">
        <v>46275</v>
      </c>
      <c r="B35" s="14">
        <v>300</v>
      </c>
      <c r="C35" s="14">
        <v>90</v>
      </c>
      <c r="D35" s="14">
        <v>180</v>
      </c>
      <c r="E35" s="14">
        <v>0</v>
      </c>
      <c r="F35" s="14">
        <v>250</v>
      </c>
      <c r="G35" s="14">
        <v>5</v>
      </c>
      <c r="H35" s="14">
        <v>90</v>
      </c>
      <c r="I35" s="15">
        <f t="shared" si="0"/>
        <v>910</v>
      </c>
      <c r="J35" s="15">
        <f t="shared" si="1"/>
        <v>530</v>
      </c>
      <c r="K35" s="16" t="s">
        <v>53</v>
      </c>
      <c r="L35" s="16" t="s">
        <v>63</v>
      </c>
      <c r="M35" s="16" t="s">
        <v>58</v>
      </c>
      <c r="N35" s="17"/>
    </row>
    <row r="36" spans="1:14" ht="14.4" customHeight="1" x14ac:dyDescent="0.3">
      <c r="A36" s="13">
        <v>46276</v>
      </c>
      <c r="B36" s="14">
        <v>420</v>
      </c>
      <c r="C36" s="14">
        <v>90</v>
      </c>
      <c r="D36" s="14">
        <v>50</v>
      </c>
      <c r="E36" s="14">
        <v>30</v>
      </c>
      <c r="F36" s="14">
        <v>250</v>
      </c>
      <c r="G36" s="14">
        <v>5</v>
      </c>
      <c r="H36" s="14">
        <v>60</v>
      </c>
      <c r="I36" s="15">
        <f t="shared" si="0"/>
        <v>900</v>
      </c>
      <c r="J36" s="15">
        <f t="shared" si="1"/>
        <v>540</v>
      </c>
      <c r="K36" s="16" t="s">
        <v>56</v>
      </c>
      <c r="L36" s="16" t="s">
        <v>57</v>
      </c>
      <c r="M36" s="16" t="s">
        <v>58</v>
      </c>
      <c r="N36" s="17"/>
    </row>
    <row r="37" spans="1:14" ht="14.4" customHeight="1" x14ac:dyDescent="0.3">
      <c r="A37" s="13">
        <v>46277</v>
      </c>
      <c r="B37" s="14">
        <v>550</v>
      </c>
      <c r="C37" s="14">
        <v>90</v>
      </c>
      <c r="D37" s="14">
        <v>60</v>
      </c>
      <c r="E37" s="14">
        <v>50</v>
      </c>
      <c r="F37" s="14">
        <v>0</v>
      </c>
      <c r="G37" s="14">
        <v>0</v>
      </c>
      <c r="H37" s="14">
        <v>10</v>
      </c>
      <c r="I37" s="15">
        <f t="shared" si="0"/>
        <v>760</v>
      </c>
      <c r="J37" s="15">
        <f t="shared" si="1"/>
        <v>680</v>
      </c>
      <c r="K37" s="16" t="s">
        <v>59</v>
      </c>
      <c r="L37" s="16" t="s">
        <v>57</v>
      </c>
      <c r="M37" s="16" t="s">
        <v>60</v>
      </c>
      <c r="N37" s="17"/>
    </row>
    <row r="38" spans="1:14" ht="14.4" customHeight="1" x14ac:dyDescent="0.3">
      <c r="A38" s="13">
        <v>46278</v>
      </c>
      <c r="B38" s="14">
        <v>400</v>
      </c>
      <c r="C38" s="14">
        <v>40</v>
      </c>
      <c r="D38" s="14">
        <v>240</v>
      </c>
      <c r="E38" s="14">
        <v>50</v>
      </c>
      <c r="F38" s="14">
        <v>0</v>
      </c>
      <c r="G38" s="14">
        <v>0</v>
      </c>
      <c r="H38" s="14">
        <v>60</v>
      </c>
      <c r="I38" s="15">
        <f t="shared" ref="I38:I69" si="2">IF(SUM(B38:F38,H38)=0,"",SUM(B38:F38,H38))</f>
        <v>790</v>
      </c>
      <c r="J38" s="15">
        <f t="shared" si="1"/>
        <v>650</v>
      </c>
      <c r="K38" s="16" t="s">
        <v>56</v>
      </c>
      <c r="L38" s="16" t="s">
        <v>63</v>
      </c>
      <c r="M38" s="16" t="s">
        <v>60</v>
      </c>
      <c r="N38" s="17"/>
    </row>
    <row r="39" spans="1:14" ht="14.4" customHeight="1" x14ac:dyDescent="0.3">
      <c r="A39" s="13">
        <v>46279</v>
      </c>
      <c r="B39" s="14">
        <v>450</v>
      </c>
      <c r="C39" s="14">
        <v>40</v>
      </c>
      <c r="D39" s="14">
        <v>180</v>
      </c>
      <c r="E39" s="14">
        <v>60</v>
      </c>
      <c r="F39" s="14">
        <v>350</v>
      </c>
      <c r="G39" s="14">
        <v>7</v>
      </c>
      <c r="H39" s="14">
        <v>90</v>
      </c>
      <c r="I39" s="15">
        <f t="shared" si="2"/>
        <v>1170</v>
      </c>
      <c r="J39" s="15">
        <f t="shared" si="1"/>
        <v>270</v>
      </c>
      <c r="K39" s="16" t="s">
        <v>61</v>
      </c>
      <c r="L39" s="16" t="s">
        <v>63</v>
      </c>
      <c r="M39" s="16" t="s">
        <v>60</v>
      </c>
      <c r="N39" s="17"/>
    </row>
    <row r="40" spans="1:14" ht="14.4" customHeight="1" x14ac:dyDescent="0.3">
      <c r="A40" s="13">
        <v>46280</v>
      </c>
      <c r="B40" s="14">
        <v>360</v>
      </c>
      <c r="C40" s="14">
        <v>50</v>
      </c>
      <c r="D40" s="14">
        <v>180</v>
      </c>
      <c r="E40" s="14">
        <v>0</v>
      </c>
      <c r="F40" s="14">
        <v>350</v>
      </c>
      <c r="G40" s="14">
        <v>7</v>
      </c>
      <c r="H40" s="14">
        <v>90</v>
      </c>
      <c r="I40" s="15">
        <f t="shared" si="2"/>
        <v>1030</v>
      </c>
      <c r="J40" s="15">
        <f t="shared" si="1"/>
        <v>410</v>
      </c>
      <c r="K40" s="16" t="s">
        <v>53</v>
      </c>
      <c r="L40" s="16" t="s">
        <v>61</v>
      </c>
      <c r="M40" s="16" t="s">
        <v>58</v>
      </c>
      <c r="N40" s="17"/>
    </row>
    <row r="41" spans="1:14" ht="14.4" customHeight="1" x14ac:dyDescent="0.3">
      <c r="A41" s="13">
        <v>46281</v>
      </c>
      <c r="B41" s="14">
        <v>460</v>
      </c>
      <c r="C41" s="14">
        <v>50</v>
      </c>
      <c r="D41" s="14">
        <v>50</v>
      </c>
      <c r="E41" s="14">
        <v>50</v>
      </c>
      <c r="F41" s="14">
        <v>250</v>
      </c>
      <c r="G41" s="14">
        <v>5</v>
      </c>
      <c r="H41" s="14">
        <v>20</v>
      </c>
      <c r="I41" s="15">
        <f t="shared" si="2"/>
        <v>880</v>
      </c>
      <c r="J41" s="15">
        <f t="shared" si="1"/>
        <v>560</v>
      </c>
      <c r="K41" s="16" t="s">
        <v>53</v>
      </c>
      <c r="L41" s="16" t="s">
        <v>57</v>
      </c>
      <c r="M41" s="16" t="s">
        <v>60</v>
      </c>
      <c r="N41" s="17"/>
    </row>
    <row r="42" spans="1:14" ht="14.4" customHeight="1" x14ac:dyDescent="0.3">
      <c r="A42" s="13">
        <v>46282</v>
      </c>
      <c r="B42" s="14">
        <v>300</v>
      </c>
      <c r="C42" s="14">
        <v>70</v>
      </c>
      <c r="D42" s="14">
        <v>30</v>
      </c>
      <c r="E42" s="14">
        <v>20</v>
      </c>
      <c r="F42" s="14">
        <v>250</v>
      </c>
      <c r="G42" s="14">
        <v>5</v>
      </c>
      <c r="H42" s="14">
        <v>90</v>
      </c>
      <c r="I42" s="15">
        <f t="shared" si="2"/>
        <v>760</v>
      </c>
      <c r="J42" s="15">
        <f t="shared" si="1"/>
        <v>680</v>
      </c>
      <c r="K42" s="16" t="s">
        <v>53</v>
      </c>
      <c r="L42" s="16" t="s">
        <v>61</v>
      </c>
      <c r="M42" s="16" t="s">
        <v>53</v>
      </c>
      <c r="N42" s="17"/>
    </row>
    <row r="43" spans="1:14" ht="14.4" customHeight="1" x14ac:dyDescent="0.3">
      <c r="A43" s="13">
        <v>46283</v>
      </c>
      <c r="B43" s="14">
        <v>320</v>
      </c>
      <c r="C43" s="14">
        <v>80</v>
      </c>
      <c r="D43" s="14">
        <v>120</v>
      </c>
      <c r="E43" s="14">
        <v>40</v>
      </c>
      <c r="F43" s="14">
        <v>200</v>
      </c>
      <c r="G43" s="14">
        <v>4</v>
      </c>
      <c r="H43" s="14">
        <v>30</v>
      </c>
      <c r="I43" s="15">
        <f t="shared" si="2"/>
        <v>790</v>
      </c>
      <c r="J43" s="15">
        <f t="shared" si="1"/>
        <v>650</v>
      </c>
      <c r="K43" s="16" t="s">
        <v>56</v>
      </c>
      <c r="L43" s="16" t="s">
        <v>57</v>
      </c>
      <c r="M43" s="16" t="s">
        <v>53</v>
      </c>
      <c r="N43" s="17"/>
    </row>
    <row r="44" spans="1:14" ht="14.4" customHeight="1" x14ac:dyDescent="0.3">
      <c r="A44" s="13">
        <v>46284</v>
      </c>
      <c r="B44" s="14">
        <v>320</v>
      </c>
      <c r="C44" s="14">
        <v>70</v>
      </c>
      <c r="D44" s="14">
        <v>120</v>
      </c>
      <c r="E44" s="14">
        <v>40</v>
      </c>
      <c r="F44" s="14">
        <v>0</v>
      </c>
      <c r="G44" s="14">
        <v>0</v>
      </c>
      <c r="H44" s="14">
        <v>30</v>
      </c>
      <c r="I44" s="15">
        <f t="shared" si="2"/>
        <v>580</v>
      </c>
      <c r="J44" s="15">
        <f t="shared" si="1"/>
        <v>860</v>
      </c>
      <c r="K44" s="16" t="s">
        <v>61</v>
      </c>
      <c r="L44" s="16" t="s">
        <v>57</v>
      </c>
      <c r="M44" s="16" t="s">
        <v>58</v>
      </c>
      <c r="N44" s="17"/>
    </row>
    <row r="45" spans="1:14" ht="14.4" customHeight="1" x14ac:dyDescent="0.3">
      <c r="A45" s="13">
        <v>46285</v>
      </c>
      <c r="B45" s="14">
        <v>450</v>
      </c>
      <c r="C45" s="14">
        <v>30</v>
      </c>
      <c r="D45" s="14">
        <v>40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2"/>
        <v>700</v>
      </c>
      <c r="J45" s="15">
        <f t="shared" si="1"/>
        <v>740</v>
      </c>
      <c r="K45" s="16" t="s">
        <v>61</v>
      </c>
      <c r="L45" s="16" t="s">
        <v>61</v>
      </c>
      <c r="M45" s="16" t="s">
        <v>60</v>
      </c>
      <c r="N45" s="17"/>
    </row>
    <row r="46" spans="1:14" ht="14.4" customHeight="1" x14ac:dyDescent="0.3">
      <c r="A46" s="13">
        <v>46286</v>
      </c>
      <c r="B46" s="14">
        <v>340</v>
      </c>
      <c r="C46" s="14">
        <v>30</v>
      </c>
      <c r="D46" s="14">
        <v>180</v>
      </c>
      <c r="E46" s="14">
        <v>0</v>
      </c>
      <c r="F46" s="14">
        <v>350</v>
      </c>
      <c r="G46" s="14">
        <v>7</v>
      </c>
      <c r="H46" s="14">
        <v>30</v>
      </c>
      <c r="I46" s="15">
        <f t="shared" si="2"/>
        <v>930</v>
      </c>
      <c r="J46" s="15">
        <f t="shared" si="1"/>
        <v>510</v>
      </c>
      <c r="K46" s="16" t="s">
        <v>56</v>
      </c>
      <c r="L46" s="16" t="s">
        <v>57</v>
      </c>
      <c r="M46" s="16" t="s">
        <v>58</v>
      </c>
      <c r="N46" s="17"/>
    </row>
    <row r="47" spans="1:14" ht="14.4" customHeight="1" x14ac:dyDescent="0.3">
      <c r="A47" s="13">
        <v>46287</v>
      </c>
      <c r="B47" s="14">
        <v>450</v>
      </c>
      <c r="C47" s="14">
        <v>0</v>
      </c>
      <c r="D47" s="14">
        <v>240</v>
      </c>
      <c r="E47" s="14">
        <v>0</v>
      </c>
      <c r="F47" s="14">
        <v>350</v>
      </c>
      <c r="G47" s="14">
        <v>7</v>
      </c>
      <c r="H47" s="14">
        <v>30</v>
      </c>
      <c r="I47" s="15">
        <f t="shared" si="2"/>
        <v>1070</v>
      </c>
      <c r="J47" s="15">
        <f t="shared" si="1"/>
        <v>370</v>
      </c>
      <c r="K47" s="16" t="s">
        <v>59</v>
      </c>
      <c r="L47" s="16" t="s">
        <v>63</v>
      </c>
      <c r="M47" s="16" t="s">
        <v>60</v>
      </c>
      <c r="N47" s="17"/>
    </row>
    <row r="48" spans="1:14" ht="14.4" customHeight="1" x14ac:dyDescent="0.3">
      <c r="A48" s="13">
        <v>46288</v>
      </c>
      <c r="B48" s="14">
        <v>510</v>
      </c>
      <c r="C48" s="14">
        <v>0</v>
      </c>
      <c r="D48" s="14">
        <v>260</v>
      </c>
      <c r="E48" s="14">
        <v>40</v>
      </c>
      <c r="F48" s="14">
        <v>350</v>
      </c>
      <c r="G48" s="14">
        <v>7</v>
      </c>
      <c r="H48" s="14">
        <v>50</v>
      </c>
      <c r="I48" s="15">
        <f t="shared" si="2"/>
        <v>1210</v>
      </c>
      <c r="J48" s="15">
        <f t="shared" si="1"/>
        <v>230</v>
      </c>
      <c r="K48" s="16" t="s">
        <v>59</v>
      </c>
      <c r="L48" s="16" t="s">
        <v>63</v>
      </c>
      <c r="M48" s="16" t="s">
        <v>60</v>
      </c>
      <c r="N48" s="17"/>
    </row>
    <row r="49" spans="1:14" ht="14.4" customHeight="1" x14ac:dyDescent="0.3">
      <c r="A49" s="13">
        <v>46289</v>
      </c>
      <c r="B49" s="14">
        <v>430</v>
      </c>
      <c r="C49" s="14">
        <v>50</v>
      </c>
      <c r="D49" s="14">
        <v>50</v>
      </c>
      <c r="E49" s="14">
        <v>30</v>
      </c>
      <c r="F49" s="14">
        <v>250</v>
      </c>
      <c r="G49" s="14">
        <v>5</v>
      </c>
      <c r="H49" s="14">
        <v>90</v>
      </c>
      <c r="I49" s="15">
        <f t="shared" si="2"/>
        <v>900</v>
      </c>
      <c r="J49" s="15">
        <f t="shared" si="1"/>
        <v>540</v>
      </c>
      <c r="K49" s="16" t="s">
        <v>59</v>
      </c>
      <c r="L49" s="16" t="s">
        <v>54</v>
      </c>
      <c r="M49" s="16" t="s">
        <v>58</v>
      </c>
      <c r="N49" s="17"/>
    </row>
    <row r="50" spans="1:14" ht="14.4" customHeight="1" x14ac:dyDescent="0.3">
      <c r="A50" s="13">
        <v>46290</v>
      </c>
      <c r="B50" s="14">
        <v>300</v>
      </c>
      <c r="C50" s="14">
        <v>50</v>
      </c>
      <c r="D50" s="14">
        <v>0</v>
      </c>
      <c r="E50" s="14">
        <v>10</v>
      </c>
      <c r="F50" s="14">
        <v>250</v>
      </c>
      <c r="G50" s="14">
        <v>5</v>
      </c>
      <c r="H50" s="14">
        <v>30</v>
      </c>
      <c r="I50" s="15">
        <f t="shared" si="2"/>
        <v>640</v>
      </c>
      <c r="J50" s="15">
        <f t="shared" si="1"/>
        <v>800</v>
      </c>
      <c r="K50" s="16" t="s">
        <v>61</v>
      </c>
      <c r="L50" s="16" t="s">
        <v>64</v>
      </c>
      <c r="M50" s="16" t="s">
        <v>53</v>
      </c>
      <c r="N50" s="17"/>
    </row>
    <row r="51" spans="1:14" ht="14.4" customHeight="1" x14ac:dyDescent="0.3">
      <c r="A51" s="13">
        <v>46291</v>
      </c>
      <c r="B51" s="14">
        <v>540</v>
      </c>
      <c r="C51" s="14">
        <v>90</v>
      </c>
      <c r="D51" s="14">
        <v>50</v>
      </c>
      <c r="E51" s="14">
        <v>30</v>
      </c>
      <c r="F51" s="14">
        <v>0</v>
      </c>
      <c r="G51" s="14">
        <v>0</v>
      </c>
      <c r="H51" s="14">
        <v>60</v>
      </c>
      <c r="I51" s="15">
        <f t="shared" si="2"/>
        <v>770</v>
      </c>
      <c r="J51" s="15">
        <f t="shared" si="1"/>
        <v>670</v>
      </c>
      <c r="K51" s="16" t="s">
        <v>59</v>
      </c>
      <c r="L51" s="16" t="s">
        <v>61</v>
      </c>
      <c r="M51" s="16" t="s">
        <v>60</v>
      </c>
      <c r="N51" s="17" t="s">
        <v>65</v>
      </c>
    </row>
    <row r="52" spans="1:14" ht="14.4" customHeight="1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ht="14.4" customHeight="1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ht="14.4" customHeight="1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ht="14.4" customHeight="1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ht="14.4" customHeight="1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ht="14.4" customHeight="1" x14ac:dyDescent="0.3">
      <c r="A57" s="13"/>
      <c r="B57" s="14"/>
      <c r="C57" s="14"/>
      <c r="D57" s="14"/>
      <c r="E57" s="14"/>
      <c r="F57" s="14"/>
      <c r="G57" s="14"/>
      <c r="H57" s="14"/>
      <c r="I57" s="15"/>
      <c r="J57" s="15"/>
      <c r="K57" s="16"/>
      <c r="L57" s="16"/>
      <c r="M57" s="16"/>
      <c r="N57" s="17"/>
    </row>
    <row r="58" spans="1:14" ht="14.4" customHeight="1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ref="I58:I121" si="3">IF(SUM(B58:F58,H58)=0,"",SUM(B58:F58,H58))</f>
        <v/>
      </c>
      <c r="J58" s="15" t="str">
        <f t="shared" si="1"/>
        <v/>
      </c>
      <c r="K58" s="16"/>
      <c r="L58" s="16"/>
      <c r="M58" s="16"/>
      <c r="N58" s="17"/>
    </row>
    <row r="59" spans="1:14" ht="14.4" customHeight="1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3"/>
        <v/>
      </c>
      <c r="J59" s="15" t="str">
        <f t="shared" si="1"/>
        <v/>
      </c>
      <c r="K59" s="16"/>
      <c r="L59" s="16"/>
      <c r="M59" s="16"/>
      <c r="N59" s="17"/>
    </row>
    <row r="60" spans="1:14" ht="14.4" customHeight="1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3"/>
        <v/>
      </c>
      <c r="J60" s="15" t="str">
        <f t="shared" si="1"/>
        <v/>
      </c>
      <c r="K60" s="16"/>
      <c r="L60" s="16"/>
      <c r="M60" s="16"/>
      <c r="N60" s="17"/>
    </row>
    <row r="61" spans="1:14" ht="14.4" customHeight="1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3"/>
        <v/>
      </c>
      <c r="J61" s="15" t="str">
        <f t="shared" si="1"/>
        <v/>
      </c>
      <c r="K61" s="16"/>
      <c r="L61" s="16"/>
      <c r="M61" s="16"/>
      <c r="N61" s="17"/>
    </row>
    <row r="62" spans="1:14" ht="14.4" customHeight="1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3"/>
        <v/>
      </c>
      <c r="J62" s="15" t="str">
        <f t="shared" si="1"/>
        <v/>
      </c>
      <c r="K62" s="16"/>
      <c r="L62" s="16"/>
      <c r="M62" s="16"/>
      <c r="N62" s="17"/>
    </row>
    <row r="63" spans="1:14" ht="14.4" customHeight="1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3"/>
        <v/>
      </c>
      <c r="J63" s="15" t="str">
        <f t="shared" si="1"/>
        <v/>
      </c>
      <c r="K63" s="16"/>
      <c r="L63" s="16"/>
      <c r="M63" s="16"/>
      <c r="N63" s="17"/>
    </row>
    <row r="64" spans="1:14" ht="14.4" customHeight="1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3"/>
        <v/>
      </c>
      <c r="J64" s="15" t="str">
        <f t="shared" si="1"/>
        <v/>
      </c>
      <c r="K64" s="16"/>
      <c r="L64" s="16"/>
      <c r="M64" s="16"/>
      <c r="N64" s="17"/>
    </row>
    <row r="65" spans="1:14" ht="14.4" customHeight="1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3"/>
        <v/>
      </c>
      <c r="J65" s="15" t="str">
        <f t="shared" si="1"/>
        <v/>
      </c>
      <c r="K65" s="16"/>
      <c r="L65" s="16"/>
      <c r="M65" s="16"/>
      <c r="N65" s="17"/>
    </row>
    <row r="66" spans="1:14" ht="14.4" customHeight="1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3"/>
        <v/>
      </c>
      <c r="J66" s="15" t="str">
        <f t="shared" si="1"/>
        <v/>
      </c>
      <c r="K66" s="16"/>
      <c r="L66" s="16"/>
      <c r="M66" s="16"/>
      <c r="N66" s="17"/>
    </row>
    <row r="67" spans="1:14" ht="14.4" customHeight="1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3"/>
        <v/>
      </c>
      <c r="J67" s="15" t="str">
        <f t="shared" si="1"/>
        <v/>
      </c>
      <c r="K67" s="16"/>
      <c r="L67" s="16"/>
      <c r="M67" s="16"/>
      <c r="N67" s="17"/>
    </row>
    <row r="68" spans="1:14" ht="14.4" customHeight="1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3"/>
        <v/>
      </c>
      <c r="J68" s="15" t="str">
        <f t="shared" si="1"/>
        <v/>
      </c>
      <c r="K68" s="16"/>
      <c r="L68" s="16"/>
      <c r="M68" s="16"/>
      <c r="N68" s="17"/>
    </row>
    <row r="69" spans="1:14" ht="14.4" customHeight="1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3"/>
        <v/>
      </c>
      <c r="J69" s="15" t="str">
        <f t="shared" si="1"/>
        <v/>
      </c>
      <c r="K69" s="16"/>
      <c r="L69" s="16"/>
      <c r="M69" s="16"/>
      <c r="N69" s="17"/>
    </row>
    <row r="70" spans="1:14" ht="14.4" customHeight="1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ht="14.4" customHeight="1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ht="14.4" customHeight="1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ht="14.4" customHeight="1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ht="14.4" customHeight="1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ht="14.4" customHeight="1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ht="14.4" customHeight="1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ht="14.4" customHeight="1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ht="14.4" customHeight="1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ht="14.4" customHeight="1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ht="14.4" customHeight="1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ht="14.4" customHeight="1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ht="14.4" customHeight="1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ht="14.4" customHeight="1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ht="14.4" customHeight="1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ht="14.4" customHeight="1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ht="14.4" customHeight="1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ht="14.4" customHeight="1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ht="14.4" customHeight="1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ht="14.4" customHeight="1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ht="14.4" customHeight="1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ht="14.4" customHeight="1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ht="14.4" customHeight="1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ht="14.4" customHeight="1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ht="14.4" customHeight="1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ht="14.4" customHeight="1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ht="14.4" customHeight="1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ht="14.4" customHeight="1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ht="14.4" customHeight="1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ht="14.4" customHeight="1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ht="14.4" customHeight="1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ht="14.4" customHeight="1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ht="14.4" customHeight="1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ht="14.4" customHeight="1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ht="14.4" customHeight="1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ht="14.4" customHeight="1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ht="14.4" customHeight="1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ht="14.4" customHeight="1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ht="14.4" customHeight="1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ht="14.4" customHeight="1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ht="14.4" customHeight="1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ht="14.4" customHeight="1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ht="14.4" customHeight="1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ht="14.4" customHeight="1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ht="14.4" customHeight="1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ht="14.4" customHeight="1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ht="14.4" customHeight="1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ht="14.4" customHeight="1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ht="14.4" customHeight="1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ht="14.4" customHeight="1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ht="14.4" customHeight="1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ht="14.4" customHeight="1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ht="14.4" customHeight="1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ref="I122:I185" si="5">IF(SUM(B122:F122,H122)=0,"",SUM(B122:F122,H122))</f>
        <v/>
      </c>
      <c r="J122" s="15" t="str">
        <f t="shared" si="4"/>
        <v/>
      </c>
      <c r="K122" s="16"/>
      <c r="L122" s="16"/>
      <c r="M122" s="16"/>
      <c r="N122" s="17"/>
    </row>
    <row r="123" spans="1:14" ht="14.4" customHeight="1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5"/>
        <v/>
      </c>
      <c r="J123" s="15" t="str">
        <f t="shared" si="4"/>
        <v/>
      </c>
      <c r="K123" s="16"/>
      <c r="L123" s="16"/>
      <c r="M123" s="16"/>
      <c r="N123" s="17"/>
    </row>
    <row r="124" spans="1:14" ht="14.4" customHeight="1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5"/>
        <v/>
      </c>
      <c r="J124" s="15" t="str">
        <f t="shared" si="4"/>
        <v/>
      </c>
      <c r="K124" s="16"/>
      <c r="L124" s="16"/>
      <c r="M124" s="16"/>
      <c r="N124" s="17"/>
    </row>
    <row r="125" spans="1:14" ht="14.4" customHeight="1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5"/>
        <v/>
      </c>
      <c r="J125" s="15" t="str">
        <f t="shared" si="4"/>
        <v/>
      </c>
      <c r="K125" s="16"/>
      <c r="L125" s="16"/>
      <c r="M125" s="16"/>
      <c r="N125" s="17"/>
    </row>
    <row r="126" spans="1:14" ht="14.4" customHeight="1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5"/>
        <v/>
      </c>
      <c r="J126" s="15" t="str">
        <f t="shared" si="4"/>
        <v/>
      </c>
      <c r="K126" s="16"/>
      <c r="L126" s="16"/>
      <c r="M126" s="16"/>
      <c r="N126" s="17"/>
    </row>
    <row r="127" spans="1:14" ht="14.4" customHeight="1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5"/>
        <v/>
      </c>
      <c r="J127" s="15" t="str">
        <f t="shared" si="4"/>
        <v/>
      </c>
      <c r="K127" s="16"/>
      <c r="L127" s="16"/>
      <c r="M127" s="16"/>
      <c r="N127" s="17"/>
    </row>
    <row r="128" spans="1:14" ht="14.4" customHeight="1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5"/>
        <v/>
      </c>
      <c r="J128" s="15" t="str">
        <f t="shared" si="4"/>
        <v/>
      </c>
      <c r="K128" s="16"/>
      <c r="L128" s="16"/>
      <c r="M128" s="16"/>
      <c r="N128" s="17"/>
    </row>
    <row r="129" spans="1:14" ht="14.4" customHeight="1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4"/>
        <v/>
      </c>
      <c r="K129" s="16"/>
      <c r="L129" s="16"/>
      <c r="M129" s="16"/>
      <c r="N129" s="17"/>
    </row>
    <row r="130" spans="1:14" ht="14.4" customHeight="1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4"/>
        <v/>
      </c>
      <c r="K130" s="16"/>
      <c r="L130" s="16"/>
      <c r="M130" s="16"/>
      <c r="N130" s="17"/>
    </row>
    <row r="131" spans="1:14" ht="14.4" customHeight="1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4"/>
        <v/>
      </c>
      <c r="K131" s="16"/>
      <c r="L131" s="16"/>
      <c r="M131" s="16"/>
      <c r="N131" s="17"/>
    </row>
    <row r="132" spans="1:14" ht="14.4" customHeight="1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4"/>
        <v/>
      </c>
      <c r="K132" s="16"/>
      <c r="L132" s="16"/>
      <c r="M132" s="16"/>
      <c r="N132" s="17"/>
    </row>
    <row r="133" spans="1:14" ht="14.4" customHeight="1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4"/>
        <v/>
      </c>
      <c r="K133" s="16"/>
      <c r="L133" s="16"/>
      <c r="M133" s="16"/>
      <c r="N133" s="17"/>
    </row>
    <row r="134" spans="1:14" ht="14.4" customHeight="1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ht="14.4" customHeight="1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ht="14.4" customHeight="1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ht="14.4" customHeight="1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ht="14.4" customHeight="1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ht="14.4" customHeight="1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ht="14.4" customHeight="1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ht="14.4" customHeight="1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ht="14.4" customHeight="1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ht="14.4" customHeight="1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ht="14.4" customHeight="1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ht="14.4" customHeight="1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ht="14.4" customHeight="1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ht="14.4" customHeight="1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ht="14.4" customHeight="1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ht="14.4" customHeight="1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ht="14.4" customHeight="1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ht="14.4" customHeight="1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ht="14.4" customHeight="1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ht="14.4" customHeight="1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ht="14.4" customHeight="1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ht="14.4" customHeight="1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ht="14.4" customHeight="1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ht="14.4" customHeight="1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ht="14.4" customHeight="1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ht="14.4" customHeight="1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ht="14.4" customHeight="1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ht="14.4" customHeight="1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ht="14.4" customHeight="1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ht="14.4" customHeight="1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ht="14.4" customHeight="1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ht="14.4" customHeight="1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ht="14.4" customHeight="1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ht="14.4" customHeight="1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ht="14.4" customHeight="1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ht="14.4" customHeight="1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ht="14.4" customHeight="1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ht="14.4" customHeight="1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ht="14.4" customHeight="1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ht="14.4" customHeight="1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ht="14.4" customHeight="1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ht="14.4" customHeight="1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ht="14.4" customHeight="1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ht="14.4" customHeight="1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ht="14.4" customHeight="1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ht="14.4" customHeight="1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ht="14.4" customHeight="1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ht="14.4" customHeight="1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ht="14.4" customHeight="1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ht="14.4" customHeight="1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ht="14.4" customHeight="1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ht="14.4" customHeight="1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ht="14.4" customHeight="1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ref="I186:I249" si="7">IF(SUM(B186:F186,H186)=0,"",SUM(B186:F186,H186))</f>
        <v/>
      </c>
      <c r="J186" s="15" t="str">
        <f t="shared" si="6"/>
        <v/>
      </c>
      <c r="K186" s="16"/>
      <c r="L186" s="16"/>
      <c r="M186" s="16"/>
      <c r="N186" s="17"/>
    </row>
    <row r="187" spans="1:14" ht="14.4" customHeight="1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7"/>
        <v/>
      </c>
      <c r="J187" s="15" t="str">
        <f t="shared" si="6"/>
        <v/>
      </c>
      <c r="K187" s="16"/>
      <c r="L187" s="16"/>
      <c r="M187" s="16"/>
      <c r="N187" s="17"/>
    </row>
    <row r="188" spans="1:14" ht="14.4" customHeight="1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7"/>
        <v/>
      </c>
      <c r="J188" s="15" t="str">
        <f t="shared" si="6"/>
        <v/>
      </c>
      <c r="K188" s="16"/>
      <c r="L188" s="16"/>
      <c r="M188" s="16"/>
      <c r="N188" s="17"/>
    </row>
    <row r="189" spans="1:14" ht="14.4" customHeight="1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7"/>
        <v/>
      </c>
      <c r="J189" s="15" t="str">
        <f t="shared" si="6"/>
        <v/>
      </c>
      <c r="K189" s="16"/>
      <c r="L189" s="16"/>
      <c r="M189" s="16"/>
      <c r="N189" s="17"/>
    </row>
    <row r="190" spans="1:14" ht="14.4" customHeight="1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7"/>
        <v/>
      </c>
      <c r="J190" s="15" t="str">
        <f t="shared" si="6"/>
        <v/>
      </c>
      <c r="K190" s="16"/>
      <c r="L190" s="16"/>
      <c r="M190" s="16"/>
      <c r="N190" s="17"/>
    </row>
    <row r="191" spans="1:14" ht="14.4" customHeight="1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7"/>
        <v/>
      </c>
      <c r="J191" s="15" t="str">
        <f t="shared" si="6"/>
        <v/>
      </c>
      <c r="K191" s="16"/>
      <c r="L191" s="16"/>
      <c r="M191" s="16"/>
      <c r="N191" s="17"/>
    </row>
    <row r="192" spans="1:14" ht="14.4" customHeight="1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7"/>
        <v/>
      </c>
      <c r="J192" s="15" t="str">
        <f t="shared" si="6"/>
        <v/>
      </c>
      <c r="K192" s="16"/>
      <c r="L192" s="16"/>
      <c r="M192" s="16"/>
      <c r="N192" s="17"/>
    </row>
    <row r="193" spans="1:14" ht="14.4" customHeight="1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7"/>
        <v/>
      </c>
      <c r="J193" s="15" t="str">
        <f t="shared" si="6"/>
        <v/>
      </c>
      <c r="K193" s="16"/>
      <c r="L193" s="16"/>
      <c r="M193" s="16"/>
      <c r="N193" s="17"/>
    </row>
    <row r="194" spans="1:14" ht="14.4" customHeight="1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7"/>
        <v/>
      </c>
      <c r="J194" s="15" t="str">
        <f t="shared" si="6"/>
        <v/>
      </c>
      <c r="K194" s="16"/>
      <c r="L194" s="16"/>
      <c r="M194" s="16"/>
      <c r="N194" s="17"/>
    </row>
    <row r="195" spans="1:14" ht="14.4" customHeight="1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7"/>
        <v/>
      </c>
      <c r="J195" s="15" t="str">
        <f t="shared" si="6"/>
        <v/>
      </c>
      <c r="K195" s="16"/>
      <c r="L195" s="16"/>
      <c r="M195" s="16"/>
      <c r="N195" s="17"/>
    </row>
    <row r="196" spans="1:14" ht="14.4" customHeight="1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7"/>
        <v/>
      </c>
      <c r="J196" s="15" t="str">
        <f t="shared" si="6"/>
        <v/>
      </c>
      <c r="K196" s="16"/>
      <c r="L196" s="16"/>
      <c r="M196" s="16"/>
      <c r="N196" s="17"/>
    </row>
    <row r="197" spans="1:14" ht="14.4" customHeight="1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7"/>
        <v/>
      </c>
      <c r="J197" s="15" t="str">
        <f t="shared" si="6"/>
        <v/>
      </c>
      <c r="K197" s="16"/>
      <c r="L197" s="16"/>
      <c r="M197" s="16"/>
      <c r="N197" s="17"/>
    </row>
    <row r="198" spans="1:14" ht="14.4" customHeight="1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ht="14.4" customHeight="1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ht="14.4" customHeight="1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ht="14.4" customHeight="1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ht="14.4" customHeight="1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ht="14.4" customHeight="1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ht="14.4" customHeight="1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ht="14.4" customHeight="1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ht="14.4" customHeight="1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ht="14.4" customHeight="1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ht="14.4" customHeight="1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ht="14.4" customHeight="1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ht="14.4" customHeight="1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ht="14.4" customHeight="1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ht="14.4" customHeight="1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ht="14.4" customHeight="1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ht="14.4" customHeight="1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ht="14.4" customHeight="1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ht="14.4" customHeight="1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ht="14.4" customHeight="1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ht="14.4" customHeight="1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ht="14.4" customHeight="1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ht="14.4" customHeight="1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ht="14.4" customHeight="1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ht="14.4" customHeight="1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ht="14.4" customHeight="1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ht="14.4" customHeight="1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ht="14.4" customHeight="1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ht="14.4" customHeight="1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ht="14.4" customHeight="1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ht="14.4" customHeight="1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ht="14.4" customHeight="1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ht="14.4" customHeight="1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ht="14.4" customHeight="1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ht="14.4" customHeight="1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ht="14.4" customHeight="1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ht="14.4" customHeight="1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ht="14.4" customHeight="1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ht="14.4" customHeight="1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ht="14.4" customHeight="1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ht="14.4" customHeight="1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ht="14.4" customHeight="1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ht="14.4" customHeight="1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ht="14.4" customHeight="1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ht="14.4" customHeight="1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ht="14.4" customHeight="1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ht="14.4" customHeight="1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ht="14.4" customHeight="1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ht="14.4" customHeight="1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ht="14.4" customHeight="1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ht="14.4" customHeight="1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ht="14.4" customHeight="1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ht="14.4" customHeight="1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ref="I250:I313" si="9">IF(SUM(B250:F250,H250)=0,"",SUM(B250:F250,H250))</f>
        <v/>
      </c>
      <c r="J250" s="15" t="str">
        <f t="shared" si="8"/>
        <v/>
      </c>
      <c r="K250" s="16"/>
      <c r="L250" s="16"/>
      <c r="M250" s="16"/>
      <c r="N250" s="17"/>
    </row>
    <row r="251" spans="1:14" ht="14.4" customHeight="1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9"/>
        <v/>
      </c>
      <c r="J251" s="15" t="str">
        <f t="shared" si="8"/>
        <v/>
      </c>
      <c r="K251" s="16"/>
      <c r="L251" s="16"/>
      <c r="M251" s="16"/>
      <c r="N251" s="17"/>
    </row>
    <row r="252" spans="1:14" ht="14.4" customHeight="1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9"/>
        <v/>
      </c>
      <c r="J252" s="15" t="str">
        <f t="shared" si="8"/>
        <v/>
      </c>
      <c r="K252" s="16"/>
      <c r="L252" s="16"/>
      <c r="M252" s="16"/>
      <c r="N252" s="17"/>
    </row>
    <row r="253" spans="1:14" ht="14.4" customHeight="1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9"/>
        <v/>
      </c>
      <c r="J253" s="15" t="str">
        <f t="shared" si="8"/>
        <v/>
      </c>
      <c r="K253" s="16"/>
      <c r="L253" s="16"/>
      <c r="M253" s="16"/>
      <c r="N253" s="17"/>
    </row>
    <row r="254" spans="1:14" ht="14.4" customHeight="1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9"/>
        <v/>
      </c>
      <c r="J254" s="15" t="str">
        <f t="shared" si="8"/>
        <v/>
      </c>
      <c r="K254" s="16"/>
      <c r="L254" s="16"/>
      <c r="M254" s="16"/>
      <c r="N254" s="17"/>
    </row>
    <row r="255" spans="1:14" ht="14.4" customHeight="1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9"/>
        <v/>
      </c>
      <c r="J255" s="15" t="str">
        <f t="shared" si="8"/>
        <v/>
      </c>
      <c r="K255" s="16"/>
      <c r="L255" s="16"/>
      <c r="M255" s="16"/>
      <c r="N255" s="17"/>
    </row>
    <row r="256" spans="1:14" ht="14.4" customHeight="1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9"/>
        <v/>
      </c>
      <c r="J256" s="15" t="str">
        <f t="shared" si="8"/>
        <v/>
      </c>
      <c r="K256" s="16"/>
      <c r="L256" s="16"/>
      <c r="M256" s="16"/>
      <c r="N256" s="17"/>
    </row>
    <row r="257" spans="1:14" ht="14.4" customHeight="1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9"/>
        <v/>
      </c>
      <c r="J257" s="15" t="str">
        <f t="shared" si="8"/>
        <v/>
      </c>
      <c r="K257" s="16"/>
      <c r="L257" s="16"/>
      <c r="M257" s="16"/>
      <c r="N257" s="17"/>
    </row>
    <row r="258" spans="1:14" ht="14.4" customHeight="1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9"/>
        <v/>
      </c>
      <c r="J258" s="15" t="str">
        <f t="shared" si="8"/>
        <v/>
      </c>
      <c r="K258" s="16"/>
      <c r="L258" s="16"/>
      <c r="M258" s="16"/>
      <c r="N258" s="17"/>
    </row>
    <row r="259" spans="1:14" ht="14.4" customHeight="1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9"/>
        <v/>
      </c>
      <c r="J259" s="15" t="str">
        <f t="shared" si="8"/>
        <v/>
      </c>
      <c r="K259" s="16"/>
      <c r="L259" s="16"/>
      <c r="M259" s="16"/>
      <c r="N259" s="17"/>
    </row>
    <row r="260" spans="1:14" ht="14.4" customHeight="1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9"/>
        <v/>
      </c>
      <c r="J260" s="15" t="str">
        <f t="shared" si="8"/>
        <v/>
      </c>
      <c r="K260" s="16"/>
      <c r="L260" s="16"/>
      <c r="M260" s="16"/>
      <c r="N260" s="17"/>
    </row>
    <row r="261" spans="1:14" ht="14.4" customHeight="1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9"/>
        <v/>
      </c>
      <c r="J261" s="15" t="str">
        <f t="shared" si="8"/>
        <v/>
      </c>
      <c r="K261" s="16"/>
      <c r="L261" s="16"/>
      <c r="M261" s="16"/>
      <c r="N261" s="17"/>
    </row>
    <row r="262" spans="1:14" ht="14.4" customHeight="1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ht="14.4" customHeight="1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ht="14.4" customHeight="1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ht="14.4" customHeight="1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ht="14.4" customHeight="1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ht="14.4" customHeight="1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ht="14.4" customHeight="1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ht="14.4" customHeight="1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ht="14.4" customHeight="1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ht="14.4" customHeight="1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ht="14.4" customHeight="1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ht="14.4" customHeight="1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ht="14.4" customHeight="1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ht="14.4" customHeight="1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ht="14.4" customHeight="1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ht="14.4" customHeight="1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ht="14.4" customHeight="1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ht="14.4" customHeight="1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ht="14.4" customHeight="1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ht="14.4" customHeight="1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ht="14.4" customHeight="1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ht="14.4" customHeight="1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ht="14.4" customHeight="1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ht="14.4" customHeight="1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ht="14.4" customHeight="1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ht="14.4" customHeight="1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ht="14.4" customHeight="1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ht="14.4" customHeight="1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ht="14.4" customHeight="1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ht="14.4" customHeight="1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ht="14.4" customHeight="1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ht="14.4" customHeight="1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ht="14.4" customHeight="1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ht="14.4" customHeight="1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ht="14.4" customHeight="1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ht="14.4" customHeight="1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ht="14.4" customHeight="1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ht="14.4" customHeight="1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ht="14.4" customHeight="1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ht="14.4" customHeight="1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ht="14.4" customHeight="1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ht="14.4" customHeight="1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ht="14.4" customHeight="1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ht="14.4" customHeight="1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ht="14.4" customHeight="1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ht="14.4" customHeight="1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ht="14.4" customHeight="1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ht="14.4" customHeight="1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ht="14.4" customHeight="1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ht="14.4" customHeight="1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ht="14.4" customHeight="1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ht="14.4" customHeight="1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ht="14.4" customHeight="1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ref="I314:I377" si="11">IF(SUM(B314:F314,H314)=0,"",SUM(B314:F314,H314))</f>
        <v/>
      </c>
      <c r="J314" s="15" t="str">
        <f t="shared" si="10"/>
        <v/>
      </c>
      <c r="K314" s="16"/>
      <c r="L314" s="16"/>
      <c r="M314" s="16"/>
      <c r="N314" s="17"/>
    </row>
    <row r="315" spans="1:14" ht="14.4" customHeight="1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1"/>
        <v/>
      </c>
      <c r="J315" s="15" t="str">
        <f t="shared" si="10"/>
        <v/>
      </c>
      <c r="K315" s="16"/>
      <c r="L315" s="16"/>
      <c r="M315" s="16"/>
      <c r="N315" s="17"/>
    </row>
    <row r="316" spans="1:14" ht="14.4" customHeight="1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1"/>
        <v/>
      </c>
      <c r="J316" s="15" t="str">
        <f t="shared" si="10"/>
        <v/>
      </c>
      <c r="K316" s="16"/>
      <c r="L316" s="16"/>
      <c r="M316" s="16"/>
      <c r="N316" s="17"/>
    </row>
    <row r="317" spans="1:14" ht="14.4" customHeight="1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1"/>
        <v/>
      </c>
      <c r="J317" s="15" t="str">
        <f t="shared" si="10"/>
        <v/>
      </c>
      <c r="K317" s="16"/>
      <c r="L317" s="16"/>
      <c r="M317" s="16"/>
      <c r="N317" s="17"/>
    </row>
    <row r="318" spans="1:14" ht="14.4" customHeight="1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1"/>
        <v/>
      </c>
      <c r="J318" s="15" t="str">
        <f t="shared" si="10"/>
        <v/>
      </c>
      <c r="K318" s="16"/>
      <c r="L318" s="16"/>
      <c r="M318" s="16"/>
      <c r="N318" s="17"/>
    </row>
    <row r="319" spans="1:14" ht="14.4" customHeight="1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1"/>
        <v/>
      </c>
      <c r="J319" s="15" t="str">
        <f t="shared" si="10"/>
        <v/>
      </c>
      <c r="K319" s="16"/>
      <c r="L319" s="16"/>
      <c r="M319" s="16"/>
      <c r="N319" s="17"/>
    </row>
    <row r="320" spans="1:14" ht="14.4" customHeight="1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1"/>
        <v/>
      </c>
      <c r="J320" s="15" t="str">
        <f t="shared" si="10"/>
        <v/>
      </c>
      <c r="K320" s="16"/>
      <c r="L320" s="16"/>
      <c r="M320" s="16"/>
      <c r="N320" s="17"/>
    </row>
    <row r="321" spans="1:14" ht="14.4" customHeight="1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1"/>
        <v/>
      </c>
      <c r="J321" s="15" t="str">
        <f t="shared" si="10"/>
        <v/>
      </c>
      <c r="K321" s="16"/>
      <c r="L321" s="16"/>
      <c r="M321" s="16"/>
      <c r="N321" s="17"/>
    </row>
    <row r="322" spans="1:14" ht="14.4" customHeight="1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1"/>
        <v/>
      </c>
      <c r="J322" s="15" t="str">
        <f t="shared" si="10"/>
        <v/>
      </c>
      <c r="K322" s="16"/>
      <c r="L322" s="16"/>
      <c r="M322" s="16"/>
      <c r="N322" s="17"/>
    </row>
    <row r="323" spans="1:14" ht="14.4" customHeight="1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1"/>
        <v/>
      </c>
      <c r="J323" s="15" t="str">
        <f t="shared" si="10"/>
        <v/>
      </c>
      <c r="K323" s="16"/>
      <c r="L323" s="16"/>
      <c r="M323" s="16"/>
      <c r="N323" s="17"/>
    </row>
    <row r="324" spans="1:14" ht="14.4" customHeight="1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1"/>
        <v/>
      </c>
      <c r="J324" s="15" t="str">
        <f t="shared" si="10"/>
        <v/>
      </c>
      <c r="K324" s="16"/>
      <c r="L324" s="16"/>
      <c r="M324" s="16"/>
      <c r="N324" s="17"/>
    </row>
    <row r="325" spans="1:14" ht="14.4" customHeight="1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1"/>
        <v/>
      </c>
      <c r="J325" s="15" t="str">
        <f t="shared" si="10"/>
        <v/>
      </c>
      <c r="K325" s="16"/>
      <c r="L325" s="16"/>
      <c r="M325" s="16"/>
      <c r="N325" s="17"/>
    </row>
    <row r="326" spans="1:14" ht="14.4" customHeight="1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ht="14.4" customHeight="1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ht="14.4" customHeight="1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ht="14.4" customHeight="1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ht="14.4" customHeight="1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ht="14.4" customHeight="1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ht="14.4" customHeight="1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ht="14.4" customHeight="1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ht="14.4" customHeight="1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ht="14.4" customHeight="1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ht="14.4" customHeight="1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ht="14.4" customHeight="1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ht="14.4" customHeight="1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ht="14.4" customHeight="1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ht="14.4" customHeight="1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ht="14.4" customHeight="1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ht="14.4" customHeight="1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ht="14.4" customHeight="1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ht="14.4" customHeight="1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ht="14.4" customHeight="1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ht="14.4" customHeight="1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ht="14.4" customHeight="1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ht="14.4" customHeight="1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ht="14.4" customHeight="1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ht="14.4" customHeight="1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ht="14.4" customHeight="1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ht="14.4" customHeight="1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ht="14.4" customHeight="1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ht="14.4" customHeight="1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ht="14.4" customHeight="1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ht="14.4" customHeight="1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ht="14.4" customHeight="1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ht="14.4" customHeight="1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ht="14.4" customHeight="1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ht="14.4" customHeight="1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ht="14.4" customHeight="1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ht="14.4" customHeight="1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ht="14.4" customHeight="1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ht="14.4" customHeight="1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ht="14.4" customHeight="1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ht="14.4" customHeight="1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ht="14.4" customHeight="1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ht="14.4" customHeight="1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ht="14.4" customHeight="1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ht="14.4" customHeight="1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ht="14.4" customHeight="1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ht="14.4" customHeight="1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ht="14.4" customHeight="1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ht="14.4" customHeight="1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ht="14.4" customHeight="1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ht="14.4" customHeight="1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ht="14.4" customHeight="1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ht="14.4" customHeight="1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ref="I378:I441" si="13">IF(SUM(B378:F378,H378)=0,"",SUM(B378:F378,H378))</f>
        <v/>
      </c>
      <c r="J378" s="15" t="str">
        <f t="shared" si="12"/>
        <v/>
      </c>
      <c r="K378" s="16"/>
      <c r="L378" s="16"/>
      <c r="M378" s="16"/>
      <c r="N378" s="17"/>
    </row>
    <row r="379" spans="1:14" ht="14.4" customHeight="1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3"/>
        <v/>
      </c>
      <c r="J379" s="15" t="str">
        <f t="shared" si="12"/>
        <v/>
      </c>
      <c r="K379" s="16"/>
      <c r="L379" s="16"/>
      <c r="M379" s="16"/>
      <c r="N379" s="17"/>
    </row>
    <row r="380" spans="1:14" ht="14.4" customHeight="1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3"/>
        <v/>
      </c>
      <c r="J380" s="15" t="str">
        <f t="shared" si="12"/>
        <v/>
      </c>
      <c r="K380" s="16"/>
      <c r="L380" s="16"/>
      <c r="M380" s="16"/>
      <c r="N380" s="17"/>
    </row>
    <row r="381" spans="1:14" ht="14.4" customHeight="1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3"/>
        <v/>
      </c>
      <c r="J381" s="15" t="str">
        <f t="shared" si="12"/>
        <v/>
      </c>
      <c r="K381" s="16"/>
      <c r="L381" s="16"/>
      <c r="M381" s="16"/>
      <c r="N381" s="17"/>
    </row>
    <row r="382" spans="1:14" ht="14.4" customHeight="1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3"/>
        <v/>
      </c>
      <c r="J382" s="15" t="str">
        <f t="shared" si="12"/>
        <v/>
      </c>
      <c r="K382" s="16"/>
      <c r="L382" s="16"/>
      <c r="M382" s="16"/>
      <c r="N382" s="17"/>
    </row>
    <row r="383" spans="1:14" ht="14.4" customHeight="1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3"/>
        <v/>
      </c>
      <c r="J383" s="15" t="str">
        <f t="shared" si="12"/>
        <v/>
      </c>
      <c r="K383" s="16"/>
      <c r="L383" s="16"/>
      <c r="M383" s="16"/>
      <c r="N383" s="17"/>
    </row>
    <row r="384" spans="1:14" ht="14.4" customHeight="1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3"/>
        <v/>
      </c>
      <c r="J384" s="15" t="str">
        <f t="shared" si="12"/>
        <v/>
      </c>
      <c r="K384" s="16"/>
      <c r="L384" s="16"/>
      <c r="M384" s="16"/>
      <c r="N384" s="17"/>
    </row>
    <row r="385" spans="1:14" ht="14.4" customHeight="1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3"/>
        <v/>
      </c>
      <c r="J385" s="15" t="str">
        <f t="shared" si="12"/>
        <v/>
      </c>
      <c r="K385" s="16"/>
      <c r="L385" s="16"/>
      <c r="M385" s="16"/>
      <c r="N385" s="17"/>
    </row>
    <row r="386" spans="1:14" ht="14.4" customHeight="1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3"/>
        <v/>
      </c>
      <c r="J386" s="15" t="str">
        <f t="shared" si="12"/>
        <v/>
      </c>
      <c r="K386" s="16"/>
      <c r="L386" s="16"/>
      <c r="M386" s="16"/>
      <c r="N386" s="17"/>
    </row>
    <row r="387" spans="1:14" ht="14.4" customHeight="1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3"/>
        <v/>
      </c>
      <c r="J387" s="15" t="str">
        <f t="shared" si="12"/>
        <v/>
      </c>
      <c r="K387" s="16"/>
      <c r="L387" s="16"/>
      <c r="M387" s="16"/>
      <c r="N387" s="17"/>
    </row>
    <row r="388" spans="1:14" ht="14.4" customHeight="1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3"/>
        <v/>
      </c>
      <c r="J388" s="15" t="str">
        <f t="shared" si="12"/>
        <v/>
      </c>
      <c r="K388" s="16"/>
      <c r="L388" s="16"/>
      <c r="M388" s="16"/>
      <c r="N388" s="17"/>
    </row>
    <row r="389" spans="1:14" ht="14.4" customHeight="1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3"/>
        <v/>
      </c>
      <c r="J389" s="15" t="str">
        <f t="shared" si="12"/>
        <v/>
      </c>
      <c r="K389" s="16"/>
      <c r="L389" s="16"/>
      <c r="M389" s="16"/>
      <c r="N389" s="17"/>
    </row>
    <row r="390" spans="1:14" ht="14.4" customHeight="1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ref="J390:J453" si="14">IF(I390="","",1440-I390)</f>
        <v/>
      </c>
      <c r="K390" s="16"/>
      <c r="L390" s="16"/>
      <c r="M390" s="16"/>
      <c r="N390" s="17"/>
    </row>
    <row r="391" spans="1:14" ht="14.4" customHeight="1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ht="14.4" customHeight="1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ht="14.4" customHeight="1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ht="14.4" customHeight="1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ht="14.4" customHeight="1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ht="14.4" customHeight="1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ht="14.4" customHeight="1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ht="14.4" customHeight="1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ht="14.4" customHeight="1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ht="14.4" customHeight="1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ht="14.4" customHeight="1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0" type="noConversion"/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00000000-0002-0000-0100-000000000000}">
      <formula1>"High,Medium,Low"</formula1>
    </dataValidation>
    <dataValidation type="list" allowBlank="1" prompt="Select today's overall feeling" sqref="K6:K16 L17 K18:K401" xr:uid="{00000000-0002-0000-0100-000001000000}">
      <formula1>"Excellent,Good,Neutral,Low,Stressed"</formula1>
    </dataValidation>
    <dataValidation type="list" allowBlank="1" prompt="Select today's satisfaction level" sqref="L6:L20 M21 L22:L401" xr:uid="{00000000-0002-0000-0100-000004000000}">
      <formula1>"Very Satisfied,Satisfied,Neutral,Unsatisfied,Very Unsatisfied"</formula1>
    </dataValidation>
  </dataValidations>
  <pageMargins left="0.74990626395218019" right="0.74990626395218019" top="0.99987495602585208" bottom="0.99987495602585208" header="0.51174154431801144" footer="0.51174154431801144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Sheikh Zaid</cp:lastModifiedBy>
  <cp:revision>0</cp:revision>
  <dcterms:created xsi:type="dcterms:W3CDTF">2026-07-24T11:49:30Z</dcterms:created>
  <dcterms:modified xsi:type="dcterms:W3CDTF">2026-10-05T07:59:03Z</dcterms:modified>
</cp:coreProperties>
</file>