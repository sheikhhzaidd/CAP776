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zaid\OneDrive\Desktop\CAP776\"/>
    </mc:Choice>
  </mc:AlternateContent>
  <xr:revisionPtr revIDLastSave="0" documentId="13_ncr:1_{5270866B-8B44-4CCA-B3EA-B61D21087664}" xr6:coauthVersionLast="47" xr6:coauthVersionMax="47" xr10:uidLastSave="{00000000-0000-0000-0000-000000000000}"/>
  <bookViews>
    <workbookView xWindow="-108" yWindow="612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9" i="2" l="1"/>
  <c r="J9" i="2" s="1"/>
  <c r="I8" i="2"/>
  <c r="J8" i="2" s="1"/>
  <c r="I7" i="2"/>
  <c r="J7" i="2" s="1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<sst xmlns="http://schemas.openxmlformats.org/spreadsheetml/2006/main" count="63" uniqueCount="60">
  <si>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</si>
  <si>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</si>
  <si>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</si>
  <si>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</si>
  <si>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</si>
  <si>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</si>
  <si>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</si>
  <si>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</si>
  <si>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</si>
  <si>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</si>
  <si>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</si>
  <si>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</si>
  <si>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</si>
  <si>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</si>
  <si>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</si>
  <si>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</si>
  <si>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</si>
  <si>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</si>
  <si>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</si>
  <si>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</si>
  <si>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</si>
  <si>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</si>
  <si>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</si>
  <si>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</si>
  <si>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</si>
  <si>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</si>
  <si>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</si>
  <si>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</si>
  <si>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</si>
  <si>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</si>
  <si>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</si>
  <si>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</si>
  <si>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</si>
  <si>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</si>
  <si>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</si>
  <si>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</si>
  <si>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</si>
  <si>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</si>
  <si>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</si>
  <si>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</si>
  <si>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</si>
  <si>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</si>
  <si>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</si>
  <si>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</si>
  <si>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</si>
  <si>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</si>
  <si>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</si>
  <si>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</si>
  <si>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</si>
  <si>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</si>
  <si>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</si>
  <si>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</si>
  <si>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</si>
  <si>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</si>
  <si>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Low</t>
  </si>
  <si>
    <t>Unsatisfied</t>
  </si>
  <si>
    <t>High</t>
  </si>
  <si>
    <t>Sheikh Mohammad Zaid</t>
  </si>
  <si>
    <t>August</t>
  </si>
  <si>
    <t>MCA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</si>
</sst>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9" sqref="N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57</v>
      </c>
      <c r="C2" s="20"/>
      <c r="D2" s="20"/>
      <c r="E2" s="6" t="s">
        <v>31</v>
      </c>
      <c r="F2" s="20">
        <v>12621571</v>
      </c>
      <c r="G2" s="20"/>
    </row>
    <row r="3" spans="1:14" ht="19.5" customHeight="1" x14ac:dyDescent="0.3">
      <c r="A3" s="6" t="s">
        <v>32</v>
      </c>
      <c r="B3" s="20" t="s">
        <v>59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46246</v>
      </c>
      <c r="B6" s="9">
        <v>420</v>
      </c>
      <c r="C6" s="9">
        <v>30</v>
      </c>
      <c r="D6" s="9">
        <v>10</v>
      </c>
      <c r="E6" s="9">
        <v>0</v>
      </c>
      <c r="F6" s="9">
        <v>350</v>
      </c>
      <c r="G6" s="9">
        <v>7</v>
      </c>
      <c r="H6" s="9">
        <v>0</v>
      </c>
      <c r="I6" s="10">
        <f t="shared" ref="I6:I9" si="0">IF(SUM(B6:F6,H6)=0,"",SUM(B6:F6,H6))</f>
        <v>810</v>
      </c>
      <c r="J6" s="10">
        <f t="shared" ref="J6:J9" si="1">IF(I6="","",1440-I6)</f>
        <v>630</v>
      </c>
      <c r="K6" s="11" t="s">
        <v>54</v>
      </c>
      <c r="L6" s="11" t="s">
        <v>55</v>
      </c>
      <c r="M6" s="11" t="s">
        <v>54</v>
      </c>
      <c r="N6" s="12" t="s">
        <v>52</v>
      </c>
    </row>
    <row r="7" spans="1:14" x14ac:dyDescent="0.3">
      <c r="A7" s="8">
        <v>46247</v>
      </c>
      <c r="B7" s="14">
        <v>380</v>
      </c>
      <c r="C7" s="14">
        <v>60</v>
      </c>
      <c r="D7" s="14">
        <v>30</v>
      </c>
      <c r="E7" s="14">
        <v>15</v>
      </c>
      <c r="F7" s="14">
        <v>180</v>
      </c>
      <c r="G7" s="14">
        <v>4</v>
      </c>
      <c r="H7" s="14">
        <v>55</v>
      </c>
      <c r="I7" s="15">
        <f t="shared" si="0"/>
        <v>720</v>
      </c>
      <c r="J7" s="15">
        <f t="shared" si="1"/>
        <v>720</v>
      </c>
      <c r="K7" s="16" t="s">
        <v>49</v>
      </c>
      <c r="L7" s="16" t="s">
        <v>50</v>
      </c>
      <c r="M7" s="16" t="s">
        <v>56</v>
      </c>
      <c r="N7" s="17"/>
    </row>
    <row r="8" spans="1:14" x14ac:dyDescent="0.3">
      <c r="A8" s="13">
        <v>46248</v>
      </c>
      <c r="B8" s="14">
        <v>400</v>
      </c>
      <c r="C8" s="14">
        <v>60</v>
      </c>
      <c r="D8" s="14">
        <v>35</v>
      </c>
      <c r="E8" s="14">
        <v>20</v>
      </c>
      <c r="F8" s="14">
        <v>180</v>
      </c>
      <c r="G8" s="14">
        <v>7</v>
      </c>
      <c r="H8" s="14">
        <v>90</v>
      </c>
      <c r="I8" s="15">
        <f t="shared" si="0"/>
        <v>785</v>
      </c>
      <c r="J8" s="15">
        <f t="shared" si="1"/>
        <v>655</v>
      </c>
      <c r="K8" s="16" t="s">
        <v>54</v>
      </c>
      <c r="L8" s="16" t="s">
        <v>55</v>
      </c>
      <c r="M8" s="16" t="s">
        <v>51</v>
      </c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ref="I10:I69" si="2">IF(SUM(B10:F10,H10)=0,"",SUM(B10:F10,H10))</f>
        <v/>
      </c>
      <c r="J10" s="15" t="str">
        <f t="shared" ref="J10:J69" si="3">IF(I10="","",1440-I10)</f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2"/>
        <v/>
      </c>
      <c r="J11" s="15" t="str">
        <f t="shared" si="3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2"/>
        <v/>
      </c>
      <c r="J12" s="15" t="str">
        <f t="shared" si="3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2"/>
        <v/>
      </c>
      <c r="J13" s="15" t="str">
        <f t="shared" si="3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2"/>
        <v/>
      </c>
      <c r="J14" s="15" t="str">
        <f t="shared" si="3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2"/>
        <v/>
      </c>
      <c r="J15" s="15" t="str">
        <f t="shared" si="3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2"/>
        <v/>
      </c>
      <c r="J16" s="15" t="str">
        <f t="shared" si="3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2"/>
        <v/>
      </c>
      <c r="J17" s="15" t="str">
        <f t="shared" si="3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2"/>
        <v/>
      </c>
      <c r="J18" s="15" t="str">
        <f t="shared" si="3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2"/>
        <v/>
      </c>
      <c r="J19" s="15" t="str">
        <f t="shared" si="3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2"/>
        <v/>
      </c>
      <c r="J20" s="15" t="str">
        <f t="shared" si="3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2"/>
        <v/>
      </c>
      <c r="J21" s="15" t="str">
        <f t="shared" si="3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2"/>
        <v/>
      </c>
      <c r="J22" s="15" t="str">
        <f t="shared" si="3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2"/>
        <v/>
      </c>
      <c r="J23" s="15" t="str">
        <f t="shared" si="3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2"/>
        <v/>
      </c>
      <c r="J24" s="15" t="str">
        <f t="shared" si="3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2"/>
        <v/>
      </c>
      <c r="J25" s="15" t="str">
        <f t="shared" si="3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2"/>
        <v/>
      </c>
      <c r="J26" s="15" t="str">
        <f t="shared" si="3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2"/>
        <v/>
      </c>
      <c r="J27" s="15" t="str">
        <f t="shared" si="3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2"/>
        <v/>
      </c>
      <c r="J28" s="15" t="str">
        <f t="shared" si="3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2"/>
        <v/>
      </c>
      <c r="J29" s="15" t="str">
        <f t="shared" si="3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2"/>
        <v/>
      </c>
      <c r="J30" s="15" t="str">
        <f t="shared" si="3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2"/>
        <v/>
      </c>
      <c r="J31" s="15" t="str">
        <f t="shared" si="3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3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3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3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3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3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3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Sheikh Zaid</cp:lastModifiedBy>
  <cp:revision>0</cp:revision>
  <dcterms:created xsi:type="dcterms:W3CDTF">2026-07-24T11:49:30Z</dcterms:created>
  <dcterms:modified xsi:type="dcterms:W3CDTF">2026-09-19T05:31:19Z</dcterms:modified>
  <dc:language>en-US</dc:language>
</cp:coreProperties>
</file>